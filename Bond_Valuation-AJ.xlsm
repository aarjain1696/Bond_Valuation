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ustomProperty1.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aarjavjain/OneDrive - Syracuse University/Syracuse Semesters/Sem 4/Financial Modelling/P-04/"/>
    </mc:Choice>
  </mc:AlternateContent>
  <xr:revisionPtr revIDLastSave="0" documentId="13_ncr:1_{EFC4A809-4203-A24A-A700-07406AC02367}" xr6:coauthVersionLast="47" xr6:coauthVersionMax="47" xr10:uidLastSave="{00000000-0000-0000-0000-000000000000}"/>
  <bookViews>
    <workbookView xWindow="0" yWindow="500" windowWidth="33600" windowHeight="19220" tabRatio="343" activeTab="1" xr2:uid="{B6FF8715-046A-4911-8D9E-76473A006091}"/>
  </bookViews>
  <sheets>
    <sheet name="User Guide" sheetId="3" r:id="rId1"/>
    <sheet name="Model" sheetId="1" r:id="rId2"/>
  </sheets>
  <externalReferences>
    <externalReference r:id="rId3"/>
    <externalReference r:id="rId4"/>
  </externalReferences>
  <definedNames>
    <definedName name="assetProfileStart">[1]GetRecentDataFromYahoo!$BL$13</definedName>
    <definedName name="Course">[2]Control!$B$1</definedName>
    <definedName name="CR" comment="CouponsRemaining">OFFSET(Model!$AH$4,1,0,Model!$AL$7,1)</definedName>
    <definedName name="exCP" comment="ex-coupon Price">OFFSET(Model!$AI$4,1,0,Model!$AL$7,1)</definedName>
    <definedName name="ExternalData_2" localSheetId="1" hidden="1">Model!$AN$1:$AZ$13</definedName>
    <definedName name="JSONstart">[1]GetRecentDataFromYahoo!$CS$13</definedName>
    <definedName name="Maturity_Date">Model!$B$6</definedName>
    <definedName name="textview.aspx?data_yield_1" localSheetId="1">Model!#REF!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7" i="1" l="1"/>
  <c r="E15" i="1"/>
  <c r="CR32" i="1" l="1"/>
  <c r="CR30" i="1"/>
  <c r="CR29" i="1"/>
  <c r="CR20" i="1"/>
  <c r="CR19" i="1"/>
  <c r="CO32" i="1"/>
  <c r="CO30" i="1"/>
  <c r="CO29" i="1"/>
  <c r="CO20" i="1"/>
  <c r="CO19" i="1"/>
  <c r="A19" i="1" l="1"/>
  <c r="A32" i="1"/>
  <c r="A30" i="1"/>
  <c r="A29" i="1"/>
  <c r="A20" i="1"/>
  <c r="AL14" i="1"/>
  <c r="CE27" i="1"/>
  <c r="CC38" i="1"/>
  <c r="CE38" i="1" s="1"/>
  <c r="CF37" i="1"/>
  <c r="CE37" i="1"/>
  <c r="CG37" i="1" s="1"/>
  <c r="CC37" i="1"/>
  <c r="CC36" i="1"/>
  <c r="CE36" i="1" s="1"/>
  <c r="CG36" i="1" s="1"/>
  <c r="CC35" i="1"/>
  <c r="CE35" i="1" s="1"/>
  <c r="CC34" i="1"/>
  <c r="CE34" i="1" s="1"/>
  <c r="CF33" i="1"/>
  <c r="CE33" i="1"/>
  <c r="CG33" i="1" s="1"/>
  <c r="CC33" i="1"/>
  <c r="CC32" i="1"/>
  <c r="CE32" i="1" s="1"/>
  <c r="CG32" i="1" s="1"/>
  <c r="CC31" i="1"/>
  <c r="CE31" i="1" s="1"/>
  <c r="CC30" i="1"/>
  <c r="CE30" i="1" s="1"/>
  <c r="CE29" i="1"/>
  <c r="CG29" i="1" s="1"/>
  <c r="CC29" i="1"/>
  <c r="CC28" i="1"/>
  <c r="CE28" i="1" s="1"/>
  <c r="CG28" i="1" s="1"/>
  <c r="CC27" i="1"/>
  <c r="BZ35" i="1"/>
  <c r="BY28" i="1"/>
  <c r="BZ28" i="1" s="1"/>
  <c r="BY29" i="1"/>
  <c r="BZ29" i="1" s="1"/>
  <c r="BY30" i="1"/>
  <c r="CA30" i="1" s="1"/>
  <c r="BY35" i="1"/>
  <c r="CA35" i="1" s="1"/>
  <c r="BY36" i="1"/>
  <c r="BZ36" i="1" s="1"/>
  <c r="BY37" i="1"/>
  <c r="BZ37" i="1" s="1"/>
  <c r="BY38" i="1"/>
  <c r="BZ38" i="1" s="1"/>
  <c r="BY27" i="1"/>
  <c r="BZ27" i="1" s="1"/>
  <c r="BW38" i="1"/>
  <c r="BW37" i="1"/>
  <c r="BW36" i="1"/>
  <c r="BW35" i="1"/>
  <c r="BW34" i="1"/>
  <c r="BY34" i="1" s="1"/>
  <c r="BW33" i="1"/>
  <c r="BY33" i="1" s="1"/>
  <c r="BW32" i="1"/>
  <c r="BY32" i="1" s="1"/>
  <c r="BW31" i="1"/>
  <c r="BY31" i="1" s="1"/>
  <c r="BW30" i="1"/>
  <c r="BW29" i="1"/>
  <c r="BW28" i="1"/>
  <c r="BW27" i="1"/>
  <c r="BC10" i="1"/>
  <c r="BZ21" i="1" s="1"/>
  <c r="BC9" i="1"/>
  <c r="BZ16" i="1" s="1"/>
  <c r="BH7" i="1"/>
  <c r="BH6" i="1"/>
  <c r="BC7" i="1"/>
  <c r="BC6" i="1"/>
  <c r="BC4" i="1"/>
  <c r="CH4" i="1"/>
  <c r="CI4" i="1"/>
  <c r="CJ4" i="1"/>
  <c r="CK4" i="1"/>
  <c r="CL4" i="1"/>
  <c r="CM4" i="1"/>
  <c r="CG4" i="1"/>
  <c r="CF4" i="1"/>
  <c r="BT3" i="1"/>
  <c r="BS3" i="1"/>
  <c r="BR3" i="1"/>
  <c r="BQ3" i="1"/>
  <c r="BP3" i="1"/>
  <c r="BO3" i="1"/>
  <c r="BN3" i="1"/>
  <c r="BM3" i="1"/>
  <c r="BL3" i="1"/>
  <c r="BK3" i="1"/>
  <c r="BJ3" i="1"/>
  <c r="BI3" i="1"/>
  <c r="BH3" i="1"/>
  <c r="BC3" i="1"/>
  <c r="BM4" i="1" s="1"/>
  <c r="CA32" i="1" l="1"/>
  <c r="BZ32" i="1"/>
  <c r="CA34" i="1"/>
  <c r="BZ34" i="1"/>
  <c r="CA33" i="1"/>
  <c r="BZ33" i="1"/>
  <c r="BZ31" i="1"/>
  <c r="CA31" i="1"/>
  <c r="CA27" i="1"/>
  <c r="CF29" i="1"/>
  <c r="CA38" i="1"/>
  <c r="CA37" i="1"/>
  <c r="CA29" i="1"/>
  <c r="CA28" i="1"/>
  <c r="BC5" i="1"/>
  <c r="BM5" i="1" s="1"/>
  <c r="BM6" i="1" s="1"/>
  <c r="BX31" i="1" s="1"/>
  <c r="BZ30" i="1"/>
  <c r="CA36" i="1"/>
  <c r="BE6" i="1"/>
  <c r="BE7" i="1"/>
  <c r="BI19" i="1"/>
  <c r="BI18" i="1"/>
  <c r="BI13" i="1"/>
  <c r="BI14" i="1"/>
  <c r="CF31" i="1"/>
  <c r="CG31" i="1"/>
  <c r="CF27" i="1"/>
  <c r="CG27" i="1"/>
  <c r="CF34" i="1"/>
  <c r="CG34" i="1"/>
  <c r="CF30" i="1"/>
  <c r="CG30" i="1"/>
  <c r="CG35" i="1"/>
  <c r="CF35" i="1"/>
  <c r="CF38" i="1"/>
  <c r="CG38" i="1"/>
  <c r="CF28" i="1"/>
  <c r="CF32" i="1"/>
  <c r="CF36" i="1"/>
  <c r="BZ22" i="1"/>
  <c r="CC21" i="1" s="1" a="1"/>
  <c r="CC21" i="1" s="1"/>
  <c r="CC22" i="1"/>
  <c r="CC17" i="1"/>
  <c r="BZ17" i="1"/>
  <c r="CC16" i="1" s="1" a="1"/>
  <c r="CC16" i="1" s="1"/>
  <c r="BT4" i="1"/>
  <c r="BP4" i="1"/>
  <c r="BL4" i="1"/>
  <c r="BS4" i="1"/>
  <c r="BO4" i="1"/>
  <c r="BK4" i="1"/>
  <c r="BH4" i="1"/>
  <c r="BR4" i="1"/>
  <c r="BN4" i="1"/>
  <c r="BJ4" i="1"/>
  <c r="BI4" i="1"/>
  <c r="BQ4" i="1"/>
  <c r="BQ5" i="1" l="1"/>
  <c r="BQ7" i="1" s="1"/>
  <c r="CD35" i="1" s="1"/>
  <c r="BL5" i="1"/>
  <c r="BL6" i="1" s="1"/>
  <c r="BP5" i="1"/>
  <c r="BP6" i="1" s="1"/>
  <c r="BO5" i="1"/>
  <c r="BO7" i="1" s="1"/>
  <c r="CD33" i="1" s="1"/>
  <c r="BT5" i="1"/>
  <c r="BT7" i="1" s="1"/>
  <c r="CD38" i="1" s="1"/>
  <c r="BI5" i="1"/>
  <c r="BI6" i="1" s="1"/>
  <c r="BR5" i="1"/>
  <c r="BR7" i="1" s="1"/>
  <c r="CD36" i="1" s="1"/>
  <c r="BS5" i="1"/>
  <c r="BS6" i="1" s="1"/>
  <c r="BJ5" i="1"/>
  <c r="BJ6" i="1" s="1"/>
  <c r="BN5" i="1"/>
  <c r="BN6" i="1" s="1"/>
  <c r="BK5" i="1"/>
  <c r="BK7" i="1" s="1"/>
  <c r="CD29" i="1" s="1"/>
  <c r="BM7" i="1"/>
  <c r="CD31" i="1" s="1"/>
  <c r="BZ23" i="1"/>
  <c r="CC23" i="1" s="1" a="1"/>
  <c r="CC23" i="1" s="1"/>
  <c r="BZ18" i="1"/>
  <c r="CC18" i="1" s="1" a="1"/>
  <c r="CC18" i="1" s="1"/>
  <c r="BE4" i="1"/>
  <c r="BH5" i="1"/>
  <c r="AL2" i="1"/>
  <c r="AL4" i="1" s="1"/>
  <c r="BQ6" i="1" l="1"/>
  <c r="BX35" i="1" s="1"/>
  <c r="BN7" i="1"/>
  <c r="CD32" i="1" s="1"/>
  <c r="BT6" i="1"/>
  <c r="BX38" i="1" s="1"/>
  <c r="BP7" i="1"/>
  <c r="CD34" i="1" s="1"/>
  <c r="BL7" i="1"/>
  <c r="CD30" i="1" s="1"/>
  <c r="BJ7" i="1"/>
  <c r="CD28" i="1" s="1"/>
  <c r="BK6" i="1"/>
  <c r="BX29" i="1" s="1"/>
  <c r="BS7" i="1"/>
  <c r="CD37" i="1" s="1"/>
  <c r="BO6" i="1"/>
  <c r="BX33" i="1" s="1"/>
  <c r="BR6" i="1"/>
  <c r="BX36" i="1" s="1"/>
  <c r="BI7" i="1"/>
  <c r="CD27" i="1" s="1"/>
  <c r="BX28" i="1"/>
  <c r="BX30" i="1"/>
  <c r="BX27" i="1"/>
  <c r="BX34" i="1"/>
  <c r="BX32" i="1"/>
  <c r="CD18" i="1" a="1"/>
  <c r="CD18" i="1" s="1"/>
  <c r="BX37" i="1"/>
  <c r="E5" i="1"/>
  <c r="CD21" i="1" l="1" a="1"/>
  <c r="CD21" i="1" s="1"/>
  <c r="CD23" i="1" a="1"/>
  <c r="CD23" i="1" s="1"/>
  <c r="CD16" i="1" a="1"/>
  <c r="CD16" i="1" s="1"/>
  <c r="CD17" i="1" s="1"/>
  <c r="BX41" i="1" a="1"/>
  <c r="CD41" i="1" a="1"/>
  <c r="CD22" i="1" l="1"/>
  <c r="BX41" i="1"/>
  <c r="CD41" i="1"/>
  <c r="AL3" i="1"/>
  <c r="AF5" i="1" l="1"/>
  <c r="AF17" i="1" s="1"/>
  <c r="AF81" i="1" l="1"/>
  <c r="AF22" i="1"/>
  <c r="AF72" i="1"/>
  <c r="AF43" i="1"/>
  <c r="AF41" i="1"/>
  <c r="AF21" i="1"/>
  <c r="AF58" i="1"/>
  <c r="AF27" i="1"/>
  <c r="AF98" i="1"/>
  <c r="AF60" i="1"/>
  <c r="AF14" i="1"/>
  <c r="AF59" i="1"/>
  <c r="AF80" i="1"/>
  <c r="AF65" i="1"/>
  <c r="AF8" i="1"/>
  <c r="AF85" i="1"/>
  <c r="AF93" i="1"/>
  <c r="AF47" i="1"/>
  <c r="AF66" i="1"/>
  <c r="AF63" i="1"/>
  <c r="AF34" i="1"/>
  <c r="AF37" i="1"/>
  <c r="AF9" i="1"/>
  <c r="AF36" i="1"/>
  <c r="AF42" i="1"/>
  <c r="AF55" i="1"/>
  <c r="AF73" i="1"/>
  <c r="AF104" i="1"/>
  <c r="AF49" i="1"/>
  <c r="AF78" i="1"/>
  <c r="AF15" i="1"/>
  <c r="AF52" i="1"/>
  <c r="AF45" i="1"/>
  <c r="AF61" i="1"/>
  <c r="AF74" i="1"/>
  <c r="AF33" i="1"/>
  <c r="AF10" i="1"/>
  <c r="AF64" i="1"/>
  <c r="AF16" i="1"/>
  <c r="AF50" i="1"/>
  <c r="AF40" i="1"/>
  <c r="AF18" i="1"/>
  <c r="AF69" i="1"/>
  <c r="AF62" i="1"/>
  <c r="AF39" i="1"/>
  <c r="AF51" i="1"/>
  <c r="AF23" i="1"/>
  <c r="AF7" i="1"/>
  <c r="AF48" i="1"/>
  <c r="AF12" i="1"/>
  <c r="AF25" i="1"/>
  <c r="AF89" i="1"/>
  <c r="AF96" i="1"/>
  <c r="AF68" i="1"/>
  <c r="AF70" i="1"/>
  <c r="AF71" i="1"/>
  <c r="AF28" i="1"/>
  <c r="AF46" i="1"/>
  <c r="AF44" i="1"/>
  <c r="AF79" i="1"/>
  <c r="AF95" i="1"/>
  <c r="AF91" i="1"/>
  <c r="AF56" i="1"/>
  <c r="AF97" i="1"/>
  <c r="AF102" i="1"/>
  <c r="AF67" i="1"/>
  <c r="AF99" i="1"/>
  <c r="AF6" i="1"/>
  <c r="AF19" i="1"/>
  <c r="AF82" i="1"/>
  <c r="AF88" i="1"/>
  <c r="AF24" i="1"/>
  <c r="AF13" i="1"/>
  <c r="AF20" i="1"/>
  <c r="AF76" i="1"/>
  <c r="AF32" i="1"/>
  <c r="AF77" i="1"/>
  <c r="AF54" i="1"/>
  <c r="AF35" i="1"/>
  <c r="AF94" i="1"/>
  <c r="AF101" i="1"/>
  <c r="AF92" i="1"/>
  <c r="AF11" i="1"/>
  <c r="AF26" i="1"/>
  <c r="AF31" i="1"/>
  <c r="AF57" i="1"/>
  <c r="AF86" i="1"/>
  <c r="AF29" i="1"/>
  <c r="AF90" i="1"/>
  <c r="AF30" i="1"/>
  <c r="AF87" i="1"/>
  <c r="AF53" i="1"/>
  <c r="AF84" i="1"/>
  <c r="AF75" i="1"/>
  <c r="AF103" i="1"/>
  <c r="AF83" i="1"/>
  <c r="AF38" i="1"/>
  <c r="AF100" i="1"/>
  <c r="AL8" i="1" l="1"/>
  <c r="AL7" i="1"/>
  <c r="G23" i="1" l="1"/>
  <c r="G10" i="1"/>
  <c r="AH11" i="1"/>
  <c r="G35" i="1"/>
  <c r="G34" i="1"/>
  <c r="AH92" i="1"/>
  <c r="G30" i="1"/>
  <c r="G96" i="1"/>
  <c r="G51" i="1"/>
  <c r="G27" i="1"/>
  <c r="AH46" i="1"/>
  <c r="G31" i="1"/>
  <c r="AH29" i="1"/>
  <c r="G48" i="1"/>
  <c r="G37" i="1"/>
  <c r="AH81" i="1"/>
  <c r="AH21" i="1"/>
  <c r="G12" i="1"/>
  <c r="G97" i="1"/>
  <c r="AH24" i="1"/>
  <c r="G29" i="1"/>
  <c r="AH75" i="1"/>
  <c r="AH65" i="1"/>
  <c r="G70" i="1"/>
  <c r="G26" i="1"/>
  <c r="AH28" i="1"/>
  <c r="AH90" i="1"/>
  <c r="AH66" i="1"/>
  <c r="G84" i="1"/>
  <c r="AH38" i="1"/>
  <c r="G78" i="1"/>
  <c r="AH5" i="1"/>
  <c r="AH42" i="1"/>
  <c r="G18" i="1"/>
  <c r="AH9" i="1"/>
  <c r="G58" i="1"/>
  <c r="G68" i="1"/>
  <c r="AH80" i="1"/>
  <c r="AH13" i="1"/>
  <c r="G102" i="1"/>
  <c r="G105" i="1"/>
  <c r="AH49" i="1"/>
  <c r="AH55" i="1"/>
  <c r="AH83" i="1"/>
  <c r="AH77" i="1"/>
  <c r="G24" i="1"/>
  <c r="G85" i="1"/>
  <c r="AH40" i="1"/>
  <c r="G7" i="1"/>
  <c r="H7" i="1" s="1"/>
  <c r="AH79" i="1"/>
  <c r="G22" i="1"/>
  <c r="AH104" i="1"/>
  <c r="AH76" i="1"/>
  <c r="G83" i="1"/>
  <c r="G57" i="1"/>
  <c r="AH60" i="1"/>
  <c r="AH93" i="1"/>
  <c r="G45" i="1"/>
  <c r="AH84" i="1"/>
  <c r="AH50" i="1"/>
  <c r="AH20" i="1"/>
  <c r="G60" i="1"/>
  <c r="G13" i="1"/>
  <c r="G8" i="1"/>
  <c r="G56" i="1"/>
  <c r="AH47" i="1"/>
  <c r="G59" i="1"/>
  <c r="G50" i="1"/>
  <c r="AH63" i="1"/>
  <c r="G93" i="1"/>
  <c r="AH88" i="1"/>
  <c r="G75" i="1"/>
  <c r="AH51" i="1"/>
  <c r="AH64" i="1"/>
  <c r="G91" i="1"/>
  <c r="G81" i="1"/>
  <c r="G99" i="1"/>
  <c r="G55" i="1"/>
  <c r="G15" i="1"/>
  <c r="G32" i="1"/>
  <c r="G19" i="1"/>
  <c r="G62" i="1"/>
  <c r="AH86" i="1"/>
  <c r="G90" i="1"/>
  <c r="G14" i="1"/>
  <c r="G39" i="1"/>
  <c r="AH101" i="1"/>
  <c r="G98" i="1"/>
  <c r="G76" i="1"/>
  <c r="G21" i="1"/>
  <c r="AH68" i="1"/>
  <c r="AH67" i="1"/>
  <c r="G11" i="1"/>
  <c r="AH95" i="1"/>
  <c r="G43" i="1"/>
  <c r="AH72" i="1"/>
  <c r="G77" i="1"/>
  <c r="AH53" i="1"/>
  <c r="G61" i="1"/>
  <c r="AH74" i="1"/>
  <c r="G104" i="1"/>
  <c r="G9" i="1"/>
  <c r="G38" i="1"/>
  <c r="AH78" i="1"/>
  <c r="G95" i="1"/>
  <c r="AH97" i="1"/>
  <c r="AH15" i="1"/>
  <c r="G47" i="1"/>
  <c r="G65" i="1"/>
  <c r="AH102" i="1"/>
  <c r="G40" i="1"/>
  <c r="G42" i="1"/>
  <c r="AH30" i="1"/>
  <c r="G87" i="1"/>
  <c r="AH94" i="1"/>
  <c r="AH61" i="1"/>
  <c r="G33" i="1"/>
  <c r="G49" i="1"/>
  <c r="AH73" i="1"/>
  <c r="G46" i="1"/>
  <c r="AH59" i="1"/>
  <c r="AH57" i="1"/>
  <c r="G64" i="1"/>
  <c r="AH89" i="1"/>
  <c r="G52" i="1"/>
  <c r="AH35" i="1"/>
  <c r="AH71" i="1"/>
  <c r="AH70" i="1"/>
  <c r="AH14" i="1"/>
  <c r="AH87" i="1"/>
  <c r="G92" i="1"/>
  <c r="AH43" i="1"/>
  <c r="G25" i="1"/>
  <c r="AH52" i="1"/>
  <c r="AH62" i="1"/>
  <c r="G28" i="1"/>
  <c r="AH69" i="1"/>
  <c r="AH22" i="1"/>
  <c r="G86" i="1"/>
  <c r="AH32" i="1"/>
  <c r="G103" i="1"/>
  <c r="G72" i="1"/>
  <c r="G88" i="1"/>
  <c r="AH31" i="1"/>
  <c r="AH37" i="1"/>
  <c r="G101" i="1"/>
  <c r="AH26" i="1"/>
  <c r="G44" i="1"/>
  <c r="AH91" i="1"/>
  <c r="AH44" i="1"/>
  <c r="G41" i="1"/>
  <c r="AH33" i="1"/>
  <c r="G36" i="1"/>
  <c r="AH10" i="1"/>
  <c r="G66" i="1"/>
  <c r="G82" i="1"/>
  <c r="AH103" i="1"/>
  <c r="AH18" i="1"/>
  <c r="AH85" i="1"/>
  <c r="AH56" i="1"/>
  <c r="AH48" i="1"/>
  <c r="AH25" i="1"/>
  <c r="G100" i="1"/>
  <c r="AH58" i="1"/>
  <c r="AH54" i="1"/>
  <c r="G80" i="1"/>
  <c r="G20" i="1"/>
  <c r="AH96" i="1"/>
  <c r="AH12" i="1"/>
  <c r="G89" i="1"/>
  <c r="AH7" i="1"/>
  <c r="AH99" i="1"/>
  <c r="G54" i="1"/>
  <c r="AH16" i="1"/>
  <c r="AH8" i="1"/>
  <c r="AH34" i="1"/>
  <c r="G71" i="1"/>
  <c r="G16" i="1"/>
  <c r="G69" i="1"/>
  <c r="G73" i="1"/>
  <c r="AH27" i="1"/>
  <c r="G79" i="1"/>
  <c r="G94" i="1"/>
  <c r="AH98" i="1"/>
  <c r="AH23" i="1"/>
  <c r="G63" i="1"/>
  <c r="AH41" i="1"/>
  <c r="AH6" i="1"/>
  <c r="AH19" i="1"/>
  <c r="AH100" i="1"/>
  <c r="G53" i="1"/>
  <c r="G17" i="1"/>
  <c r="AH45" i="1"/>
  <c r="G74" i="1"/>
  <c r="AH39" i="1"/>
  <c r="AH82" i="1"/>
  <c r="AH17" i="1"/>
  <c r="AH36" i="1"/>
  <c r="G67" i="1"/>
  <c r="AL9" i="1"/>
  <c r="AL10" i="1" l="1"/>
  <c r="O6" i="1"/>
  <c r="H6" i="1"/>
  <c r="AL11" i="1"/>
  <c r="H45" i="1"/>
  <c r="I45" i="1"/>
  <c r="I7" i="1"/>
  <c r="H8" i="1"/>
  <c r="I8" i="1"/>
  <c r="H9" i="1"/>
  <c r="I9" i="1"/>
  <c r="H10" i="1"/>
  <c r="I10" i="1"/>
  <c r="H11" i="1"/>
  <c r="I11" i="1"/>
  <c r="H12" i="1"/>
  <c r="I12" i="1"/>
  <c r="H13" i="1"/>
  <c r="I13" i="1"/>
  <c r="H14" i="1"/>
  <c r="I14" i="1"/>
  <c r="H15" i="1"/>
  <c r="I15" i="1"/>
  <c r="H16" i="1"/>
  <c r="I16" i="1"/>
  <c r="H17" i="1"/>
  <c r="I17" i="1"/>
  <c r="H18" i="1"/>
  <c r="I18" i="1"/>
  <c r="H19" i="1"/>
  <c r="I19" i="1"/>
  <c r="H20" i="1"/>
  <c r="I20" i="1"/>
  <c r="H21" i="1"/>
  <c r="I21" i="1"/>
  <c r="H22" i="1"/>
  <c r="I22" i="1"/>
  <c r="H23" i="1"/>
  <c r="I23" i="1"/>
  <c r="H24" i="1"/>
  <c r="I24" i="1"/>
  <c r="H25" i="1"/>
  <c r="I25" i="1"/>
  <c r="H26" i="1"/>
  <c r="I26" i="1"/>
  <c r="H27" i="1"/>
  <c r="I27" i="1"/>
  <c r="H28" i="1"/>
  <c r="I28" i="1"/>
  <c r="H29" i="1"/>
  <c r="I29" i="1"/>
  <c r="H30" i="1"/>
  <c r="I30" i="1"/>
  <c r="H31" i="1"/>
  <c r="I31" i="1"/>
  <c r="H32" i="1"/>
  <c r="I32" i="1"/>
  <c r="H33" i="1"/>
  <c r="I33" i="1"/>
  <c r="H34" i="1"/>
  <c r="I34" i="1"/>
  <c r="H35" i="1"/>
  <c r="I35" i="1"/>
  <c r="H36" i="1"/>
  <c r="I36" i="1"/>
  <c r="H37" i="1"/>
  <c r="I37" i="1"/>
  <c r="H38" i="1"/>
  <c r="I38" i="1"/>
  <c r="H39" i="1"/>
  <c r="I39" i="1"/>
  <c r="H40" i="1"/>
  <c r="I40" i="1"/>
  <c r="H41" i="1"/>
  <c r="I41" i="1"/>
  <c r="H42" i="1"/>
  <c r="I42" i="1"/>
  <c r="H43" i="1"/>
  <c r="I43" i="1"/>
  <c r="H44" i="1"/>
  <c r="I44" i="1"/>
  <c r="H46" i="1"/>
  <c r="I46" i="1"/>
  <c r="H47" i="1"/>
  <c r="I47" i="1"/>
  <c r="H48" i="1"/>
  <c r="I48" i="1"/>
  <c r="H49" i="1"/>
  <c r="I49" i="1"/>
  <c r="H50" i="1"/>
  <c r="I50" i="1"/>
  <c r="H51" i="1"/>
  <c r="I51" i="1"/>
  <c r="H52" i="1"/>
  <c r="I52" i="1"/>
  <c r="H53" i="1"/>
  <c r="I53" i="1"/>
  <c r="H54" i="1"/>
  <c r="I54" i="1"/>
  <c r="H55" i="1"/>
  <c r="I55" i="1"/>
  <c r="H56" i="1"/>
  <c r="I56" i="1"/>
  <c r="H57" i="1"/>
  <c r="I57" i="1"/>
  <c r="H58" i="1"/>
  <c r="I58" i="1"/>
  <c r="H59" i="1"/>
  <c r="I59" i="1"/>
  <c r="H60" i="1"/>
  <c r="I60" i="1"/>
  <c r="H61" i="1"/>
  <c r="I61" i="1"/>
  <c r="H62" i="1"/>
  <c r="I62" i="1"/>
  <c r="H63" i="1"/>
  <c r="I63" i="1"/>
  <c r="H64" i="1"/>
  <c r="I64" i="1"/>
  <c r="H65" i="1"/>
  <c r="I65" i="1"/>
  <c r="H66" i="1"/>
  <c r="I66" i="1"/>
  <c r="H67" i="1"/>
  <c r="I67" i="1"/>
  <c r="H68" i="1"/>
  <c r="I68" i="1"/>
  <c r="H69" i="1"/>
  <c r="I69" i="1"/>
  <c r="H70" i="1"/>
  <c r="I70" i="1"/>
  <c r="H71" i="1"/>
  <c r="I71" i="1"/>
  <c r="H72" i="1"/>
  <c r="I72" i="1"/>
  <c r="H73" i="1"/>
  <c r="I73" i="1"/>
  <c r="H74" i="1"/>
  <c r="I74" i="1"/>
  <c r="H75" i="1"/>
  <c r="I75" i="1"/>
  <c r="H76" i="1"/>
  <c r="I76" i="1"/>
  <c r="H77" i="1"/>
  <c r="I77" i="1"/>
  <c r="H78" i="1"/>
  <c r="I78" i="1"/>
  <c r="H79" i="1"/>
  <c r="I79" i="1"/>
  <c r="H80" i="1"/>
  <c r="I80" i="1"/>
  <c r="H81" i="1"/>
  <c r="I81" i="1"/>
  <c r="H82" i="1"/>
  <c r="I82" i="1"/>
  <c r="H83" i="1"/>
  <c r="I83" i="1"/>
  <c r="H84" i="1"/>
  <c r="I84" i="1"/>
  <c r="H85" i="1"/>
  <c r="I85" i="1"/>
  <c r="H86" i="1"/>
  <c r="I86" i="1"/>
  <c r="H87" i="1"/>
  <c r="I87" i="1"/>
  <c r="H88" i="1"/>
  <c r="I88" i="1"/>
  <c r="H89" i="1"/>
  <c r="I89" i="1"/>
  <c r="H90" i="1"/>
  <c r="I90" i="1"/>
  <c r="H91" i="1"/>
  <c r="I91" i="1"/>
  <c r="H92" i="1"/>
  <c r="I92" i="1"/>
  <c r="H93" i="1"/>
  <c r="I93" i="1"/>
  <c r="H94" i="1"/>
  <c r="I94" i="1"/>
  <c r="H95" i="1"/>
  <c r="I95" i="1"/>
  <c r="H96" i="1"/>
  <c r="I96" i="1"/>
  <c r="H97" i="1"/>
  <c r="I97" i="1"/>
  <c r="H98" i="1"/>
  <c r="I98" i="1"/>
  <c r="H99" i="1"/>
  <c r="I99" i="1"/>
  <c r="H100" i="1"/>
  <c r="I100" i="1"/>
  <c r="H101" i="1"/>
  <c r="I101" i="1"/>
  <c r="H102" i="1"/>
  <c r="I102" i="1"/>
  <c r="H103" i="1"/>
  <c r="I103" i="1"/>
  <c r="H104" i="1"/>
  <c r="I104" i="1"/>
  <c r="H105" i="1"/>
  <c r="I105" i="1"/>
  <c r="AL12" i="1" l="1"/>
  <c r="AL13" i="1" s="1"/>
  <c r="AL15" i="1" s="1"/>
  <c r="P7" i="1" s="1"/>
  <c r="E14" i="1" l="1"/>
  <c r="E6" i="1"/>
  <c r="BY43" i="1" l="1"/>
  <c r="CE43" i="1"/>
  <c r="AL42" i="1" l="1"/>
  <c r="BJ18" i="1"/>
  <c r="BJ17" i="1" s="1"/>
  <c r="AL19" i="1"/>
  <c r="AL20" i="1" s="1"/>
  <c r="AL21" i="1" s="1"/>
  <c r="BJ13" i="1"/>
  <c r="BJ12" i="1" s="1"/>
  <c r="AL43" i="1" l="1"/>
  <c r="E24" i="1"/>
  <c r="E9" i="1"/>
  <c r="E11" i="1"/>
  <c r="AL22" i="1"/>
  <c r="E10" i="1" s="1"/>
  <c r="AI80" i="1" l="1"/>
  <c r="AI81" i="1"/>
  <c r="AI82" i="1"/>
  <c r="AI83" i="1"/>
  <c r="AI84" i="1"/>
  <c r="AI85" i="1"/>
  <c r="AI86" i="1"/>
  <c r="AI87" i="1"/>
  <c r="AI88" i="1"/>
  <c r="AI89" i="1"/>
  <c r="AI90" i="1"/>
  <c r="AI91" i="1"/>
  <c r="AI92" i="1"/>
  <c r="AI93" i="1"/>
  <c r="AI94" i="1"/>
  <c r="AI95" i="1"/>
  <c r="AI96" i="1"/>
  <c r="AI97" i="1"/>
  <c r="AI98" i="1"/>
  <c r="AI99" i="1"/>
  <c r="AI100" i="1"/>
  <c r="AI101" i="1"/>
  <c r="AI102" i="1"/>
  <c r="AI103" i="1"/>
  <c r="AI104"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L39" i="1" l="1"/>
  <c r="E20" i="1" s="1"/>
  <c r="AL38" i="1" l="1"/>
  <c r="K5" i="1"/>
  <c r="AI5" i="1"/>
  <c r="AI6" i="1"/>
  <c r="E7" i="1"/>
  <c r="AI7" i="1"/>
  <c r="N8" i="1"/>
  <c r="O8" i="1"/>
  <c r="P8" i="1"/>
  <c r="AI8" i="1"/>
  <c r="N9" i="1"/>
  <c r="O9" i="1"/>
  <c r="P9" i="1"/>
  <c r="AI9" i="1"/>
  <c r="N10" i="1"/>
  <c r="O10" i="1"/>
  <c r="P10" i="1"/>
  <c r="AI10" i="1"/>
  <c r="N11" i="1"/>
  <c r="O11" i="1"/>
  <c r="P11" i="1"/>
  <c r="AI11" i="1"/>
  <c r="N12" i="1"/>
  <c r="O12" i="1"/>
  <c r="P12" i="1"/>
  <c r="AI12" i="1"/>
  <c r="N13" i="1"/>
  <c r="O13" i="1"/>
  <c r="P13" i="1"/>
  <c r="AI13" i="1"/>
  <c r="N14" i="1"/>
  <c r="O14" i="1"/>
  <c r="P14" i="1"/>
  <c r="AI14" i="1"/>
  <c r="N15" i="1"/>
  <c r="O15" i="1"/>
  <c r="P15" i="1"/>
  <c r="AI15" i="1"/>
  <c r="E16" i="1"/>
  <c r="N16" i="1"/>
  <c r="O16" i="1"/>
  <c r="P16" i="1"/>
  <c r="AI16" i="1"/>
  <c r="AL16" i="1"/>
  <c r="E17" i="1"/>
  <c r="N17" i="1"/>
  <c r="O17" i="1"/>
  <c r="P17" i="1"/>
  <c r="AI17" i="1"/>
  <c r="AL17" i="1"/>
  <c r="N18" i="1"/>
  <c r="O18" i="1"/>
  <c r="P18" i="1"/>
  <c r="AI18" i="1"/>
  <c r="AL18" i="1"/>
  <c r="N19" i="1"/>
  <c r="O19" i="1"/>
  <c r="P19" i="1"/>
  <c r="AI19" i="1"/>
  <c r="N20" i="1"/>
  <c r="O20" i="1"/>
  <c r="P20" i="1"/>
  <c r="AI20" i="1"/>
  <c r="E21" i="1"/>
  <c r="N21" i="1"/>
  <c r="O21" i="1"/>
  <c r="P21" i="1"/>
  <c r="AI21" i="1"/>
  <c r="E22" i="1"/>
  <c r="N22" i="1"/>
  <c r="O22" i="1"/>
  <c r="P22" i="1"/>
  <c r="AI22" i="1"/>
  <c r="N23" i="1"/>
  <c r="O23" i="1"/>
  <c r="P23" i="1"/>
  <c r="AI23" i="1"/>
  <c r="AL23" i="1"/>
  <c r="N24" i="1"/>
  <c r="O24" i="1"/>
  <c r="P24" i="1"/>
  <c r="AI24" i="1"/>
  <c r="AL24" i="1"/>
  <c r="E25" i="1"/>
  <c r="N25" i="1"/>
  <c r="O25" i="1"/>
  <c r="P25" i="1"/>
  <c r="AI25" i="1"/>
  <c r="E26" i="1"/>
  <c r="N26" i="1"/>
  <c r="O26" i="1"/>
  <c r="P26" i="1"/>
  <c r="AI26" i="1"/>
  <c r="N27" i="1"/>
  <c r="O27" i="1"/>
  <c r="P27" i="1"/>
  <c r="AI27" i="1"/>
  <c r="AL27" i="1"/>
  <c r="N28" i="1"/>
  <c r="O28" i="1"/>
  <c r="P28" i="1"/>
  <c r="AI28" i="1"/>
  <c r="E29" i="1"/>
  <c r="N29" i="1"/>
  <c r="O29" i="1"/>
  <c r="P29" i="1"/>
  <c r="AI29" i="1"/>
  <c r="E30" i="1"/>
  <c r="N30" i="1"/>
  <c r="O30" i="1"/>
  <c r="P30" i="1"/>
  <c r="AI30" i="1"/>
  <c r="AL30" i="1"/>
  <c r="N31" i="1"/>
  <c r="O31" i="1"/>
  <c r="P31" i="1"/>
  <c r="AI31" i="1"/>
  <c r="AL31" i="1"/>
  <c r="N32" i="1"/>
  <c r="O32" i="1"/>
  <c r="P32" i="1"/>
  <c r="AI32" i="1"/>
  <c r="AL32" i="1"/>
  <c r="N33" i="1"/>
  <c r="O33" i="1"/>
  <c r="P33" i="1"/>
  <c r="AI33" i="1"/>
  <c r="AL33" i="1"/>
  <c r="N34" i="1"/>
  <c r="O34" i="1"/>
  <c r="P34" i="1"/>
  <c r="AI34" i="1"/>
  <c r="AL34" i="1"/>
  <c r="N35" i="1"/>
  <c r="O35" i="1"/>
  <c r="P35" i="1"/>
  <c r="AI35" i="1"/>
  <c r="AL35" i="1"/>
  <c r="N36" i="1"/>
  <c r="O36" i="1"/>
  <c r="P36" i="1"/>
  <c r="AI36" i="1"/>
  <c r="AL36" i="1"/>
  <c r="N37" i="1"/>
  <c r="O37" i="1"/>
  <c r="P37" i="1"/>
  <c r="AI37" i="1"/>
  <c r="AL37" i="1"/>
  <c r="N38" i="1"/>
  <c r="O38" i="1"/>
  <c r="P38" i="1"/>
  <c r="AI38" i="1"/>
  <c r="N39" i="1"/>
  <c r="O39" i="1"/>
  <c r="P39" i="1"/>
  <c r="AI39" i="1"/>
  <c r="N40" i="1"/>
  <c r="O40" i="1"/>
  <c r="P40" i="1"/>
  <c r="AI40" i="1"/>
  <c r="AL40" i="1"/>
  <c r="N41" i="1"/>
  <c r="O41" i="1"/>
  <c r="P41" i="1"/>
  <c r="AI41" i="1"/>
  <c r="AL41" i="1"/>
  <c r="N42" i="1"/>
  <c r="O42" i="1"/>
  <c r="P42" i="1"/>
  <c r="AI42" i="1"/>
  <c r="N43" i="1"/>
  <c r="O43" i="1"/>
  <c r="P43" i="1"/>
  <c r="AI43" i="1"/>
  <c r="N44" i="1"/>
  <c r="O44" i="1"/>
  <c r="P44" i="1"/>
  <c r="AL44" i="1"/>
  <c r="N45" i="1"/>
  <c r="O45" i="1"/>
  <c r="P45" i="1"/>
  <c r="AL45" i="1"/>
  <c r="N46" i="1"/>
  <c r="O46" i="1"/>
  <c r="P46" i="1"/>
  <c r="N47" i="1"/>
  <c r="O47" i="1"/>
  <c r="P47" i="1"/>
  <c r="N48" i="1"/>
  <c r="O48" i="1"/>
  <c r="P48" i="1"/>
  <c r="AL48" i="1"/>
  <c r="N49" i="1"/>
  <c r="O49" i="1"/>
  <c r="P49" i="1"/>
  <c r="AL49" i="1"/>
  <c r="N50" i="1"/>
  <c r="O50" i="1"/>
  <c r="P50" i="1"/>
  <c r="AL50" i="1"/>
  <c r="N51" i="1"/>
  <c r="O51" i="1"/>
  <c r="P51" i="1"/>
  <c r="N52" i="1"/>
  <c r="O52" i="1"/>
  <c r="P52" i="1"/>
  <c r="N53" i="1"/>
  <c r="O53" i="1"/>
  <c r="P53" i="1"/>
  <c r="AL53" i="1"/>
  <c r="N54" i="1"/>
  <c r="O54" i="1"/>
  <c r="P54" i="1"/>
  <c r="AL54" i="1"/>
  <c r="N55" i="1"/>
  <c r="O55" i="1"/>
  <c r="P55" i="1"/>
  <c r="N56" i="1"/>
  <c r="O56" i="1"/>
  <c r="P56" i="1"/>
  <c r="N57" i="1"/>
  <c r="O57" i="1"/>
  <c r="P57" i="1"/>
  <c r="N58" i="1"/>
  <c r="O58" i="1"/>
  <c r="P58" i="1"/>
  <c r="N59" i="1"/>
  <c r="O59" i="1"/>
  <c r="P59" i="1"/>
  <c r="N60" i="1"/>
  <c r="O60" i="1"/>
  <c r="P60" i="1"/>
  <c r="N61" i="1"/>
  <c r="O61" i="1"/>
  <c r="P61" i="1"/>
  <c r="N62" i="1"/>
  <c r="O62" i="1"/>
  <c r="P62" i="1"/>
  <c r="N63" i="1"/>
  <c r="O63" i="1"/>
  <c r="P63" i="1"/>
  <c r="N64" i="1"/>
  <c r="O64" i="1"/>
  <c r="P64" i="1"/>
  <c r="N65" i="1"/>
  <c r="O65" i="1"/>
  <c r="P65" i="1"/>
  <c r="N66" i="1"/>
  <c r="O66" i="1"/>
  <c r="P66" i="1"/>
  <c r="N67" i="1"/>
  <c r="O67" i="1"/>
  <c r="P67" i="1"/>
  <c r="N68" i="1"/>
  <c r="O68" i="1"/>
  <c r="P68" i="1"/>
  <c r="N69" i="1"/>
  <c r="O69" i="1"/>
  <c r="P69" i="1"/>
  <c r="N70" i="1"/>
  <c r="O70" i="1"/>
  <c r="P70" i="1"/>
  <c r="N71" i="1"/>
  <c r="O71" i="1"/>
  <c r="P71" i="1"/>
  <c r="N72" i="1"/>
  <c r="O72" i="1"/>
  <c r="P72" i="1"/>
  <c r="N73" i="1"/>
  <c r="O73" i="1"/>
  <c r="P73" i="1"/>
  <c r="N74" i="1"/>
  <c r="O74" i="1"/>
  <c r="P74" i="1"/>
  <c r="N75" i="1"/>
  <c r="O75" i="1"/>
  <c r="P75" i="1"/>
  <c r="N76" i="1"/>
  <c r="O76" i="1"/>
  <c r="P76" i="1"/>
  <c r="N77" i="1"/>
  <c r="O77" i="1"/>
  <c r="P77" i="1"/>
  <c r="N78" i="1"/>
  <c r="O78" i="1"/>
  <c r="P78" i="1"/>
  <c r="N79" i="1"/>
  <c r="O79" i="1"/>
  <c r="P79" i="1"/>
  <c r="N80" i="1"/>
  <c r="O80" i="1"/>
  <c r="P80" i="1"/>
  <c r="N81" i="1"/>
  <c r="O81" i="1"/>
  <c r="P81" i="1"/>
  <c r="N82" i="1"/>
  <c r="O82" i="1"/>
  <c r="P82" i="1"/>
  <c r="N83" i="1"/>
  <c r="O83" i="1"/>
  <c r="P83" i="1"/>
  <c r="N84" i="1"/>
  <c r="O84" i="1"/>
  <c r="P84" i="1"/>
  <c r="N85" i="1"/>
  <c r="O85" i="1"/>
  <c r="P85" i="1"/>
  <c r="N86" i="1"/>
  <c r="O86" i="1"/>
  <c r="P86" i="1"/>
  <c r="N87" i="1"/>
  <c r="O87" i="1"/>
  <c r="P87" i="1"/>
  <c r="N88" i="1"/>
  <c r="O88" i="1"/>
  <c r="P88" i="1"/>
  <c r="N89" i="1"/>
  <c r="O89" i="1"/>
  <c r="P89" i="1"/>
  <c r="N90" i="1"/>
  <c r="O90" i="1"/>
  <c r="P90" i="1"/>
  <c r="N91" i="1"/>
  <c r="O91" i="1"/>
  <c r="P91" i="1"/>
  <c r="N92" i="1"/>
  <c r="O92" i="1"/>
  <c r="P92" i="1"/>
  <c r="N93" i="1"/>
  <c r="O93" i="1"/>
  <c r="P93" i="1"/>
  <c r="N94" i="1"/>
  <c r="O94" i="1"/>
  <c r="P94" i="1"/>
  <c r="N95" i="1"/>
  <c r="O95" i="1"/>
  <c r="P95" i="1"/>
  <c r="N96" i="1"/>
  <c r="O96" i="1"/>
  <c r="P96" i="1"/>
  <c r="N97" i="1"/>
  <c r="O97" i="1"/>
  <c r="P97" i="1"/>
  <c r="N98" i="1"/>
  <c r="O98" i="1"/>
  <c r="P98" i="1"/>
  <c r="N99" i="1"/>
  <c r="O99" i="1"/>
  <c r="P99" i="1"/>
  <c r="N100" i="1"/>
  <c r="O100" i="1"/>
  <c r="P100" i="1"/>
  <c r="N101" i="1"/>
  <c r="O101" i="1"/>
  <c r="P101" i="1"/>
  <c r="N102" i="1"/>
  <c r="O102" i="1"/>
  <c r="P102" i="1"/>
  <c r="N103" i="1"/>
  <c r="O103" i="1"/>
  <c r="P103" i="1"/>
  <c r="N104" i="1"/>
  <c r="O104" i="1"/>
  <c r="P104" i="1"/>
  <c r="N105" i="1"/>
  <c r="O105" i="1"/>
  <c r="P105" i="1"/>
  <c r="G106" i="1"/>
  <c r="H106" i="1"/>
  <c r="I106" i="1"/>
  <c r="N106" i="1"/>
  <c r="O106" i="1"/>
  <c r="P106" i="1"/>
  <c r="N107" i="1"/>
  <c r="O107" i="1"/>
  <c r="P107" i="1"/>
  <c r="N108" i="1"/>
  <c r="O108" i="1"/>
  <c r="P10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Aarjav Jain</author>
    <author>Jingwen Xu</author>
  </authors>
  <commentList>
    <comment ref="K5" authorId="0" shapeId="0" xr:uid="{8A5D447F-3598-44A3-9C80-C9F67D073868}">
      <text>
        <r>
          <rPr>
            <b/>
            <sz val="9"/>
            <color rgb="FF000000"/>
            <rFont val="Tahoma"/>
            <family val="2"/>
          </rPr>
          <t>Aarjav Jain:</t>
        </r>
        <r>
          <rPr>
            <sz val="9"/>
            <color rgb="FF000000"/>
            <rFont val="Tahoma"/>
            <family val="2"/>
          </rPr>
          <t xml:space="preserve">
</t>
        </r>
        <r>
          <rPr>
            <sz val="9"/>
            <color rgb="FF000000"/>
            <rFont val="Tahoma"/>
            <family val="2"/>
          </rPr>
          <t>Recommend User to Buy bond if YTM&gt;OCC on purchase date, Hold if YTM = OCC on Purchase and Sell Bonds if YTM &lt; OCC on Purchase date</t>
        </r>
      </text>
    </comment>
    <comment ref="B18" authorId="1" shapeId="0" xr:uid="{7B8A0D34-FA76-468C-83D1-E3D10ECBB55F}">
      <text>
        <r>
          <rPr>
            <sz val="9"/>
            <color rgb="FF000000"/>
            <rFont val="Tahoma"/>
            <family val="2"/>
          </rPr>
          <t>Quoted Price is the latest price to be traded at by an investment. So to get the number of Quoted Price(% of Face Value), users need to use quoted price divided by Face value.</t>
        </r>
      </text>
    </comment>
    <comment ref="B19" authorId="1" shapeId="0" xr:uid="{376EB058-7F56-4105-A9C0-75329C44AC89}">
      <text>
        <r>
          <rPr>
            <sz val="9"/>
            <color rgb="FF000000"/>
            <rFont val="Tahoma"/>
            <family val="2"/>
          </rPr>
          <t>Opportunity cost of capital, the yield to maturity on bonds of comparable risk. The bond's value is calculated by discounting the future cash flow using this quantity.</t>
        </r>
      </text>
    </comment>
    <comment ref="CP19" authorId="1" shapeId="0" xr:uid="{0E52A091-53B9-4AAB-AAD5-CFB94F8FBA2E}">
      <text>
        <r>
          <rPr>
            <sz val="9"/>
            <color rgb="FF000000"/>
            <rFont val="Tahoma"/>
            <family val="2"/>
          </rPr>
          <t>Opportunity cost of capital, the yield to maturity on bonds of comparable risk. The bond's value is calculated by discounting the future cash flow using this quantity.</t>
        </r>
      </text>
    </comment>
    <comment ref="CS19" authorId="1" shapeId="0" xr:uid="{460D8E21-2CDE-4044-8DB5-929F77E30C80}">
      <text>
        <r>
          <rPr>
            <sz val="9"/>
            <color rgb="FF000000"/>
            <rFont val="Tahoma"/>
            <family val="2"/>
          </rPr>
          <t>Opportunity cost of capital, the yield to maturity on bonds of comparable risk. The bond's value is calculated by discounting the future cash flow using this quantity.</t>
        </r>
      </text>
    </comment>
    <comment ref="B20" authorId="1" shapeId="0" xr:uid="{AD14EBED-2A36-4277-9D41-A99B2D59C0B8}">
      <text>
        <r>
          <rPr>
            <sz val="9"/>
            <color rgb="FF000000"/>
            <rFont val="Tahoma"/>
            <family val="2"/>
          </rPr>
          <t>Shift in the interest rates between today and purchase date. All interest rates are assumed to change by this amount.</t>
        </r>
      </text>
    </comment>
    <comment ref="CP20" authorId="1" shapeId="0" xr:uid="{C8A918B7-E042-42E9-9A0D-F4BED1EDC888}">
      <text>
        <r>
          <rPr>
            <sz val="9"/>
            <color rgb="FF000000"/>
            <rFont val="Tahoma"/>
            <family val="2"/>
          </rPr>
          <t>Shift in the interest rates between today and purchase date. All interest rates are assumed to change by this amount.</t>
        </r>
      </text>
    </comment>
    <comment ref="CS20" authorId="1" shapeId="0" xr:uid="{09DFF4C1-D771-46B8-A1DC-23763BC8F586}">
      <text>
        <r>
          <rPr>
            <sz val="9"/>
            <color rgb="FF000000"/>
            <rFont val="Tahoma"/>
            <family val="2"/>
          </rPr>
          <t>Shift in the interest rates between today and purchase date. All interest rates are assumed to change by this amount.</t>
        </r>
      </text>
    </comment>
    <comment ref="D29" authorId="1" shapeId="0" xr:uid="{D7A37CD0-E41C-41D2-8AB4-079024718460}">
      <text>
        <r>
          <rPr>
            <sz val="9"/>
            <color indexed="81"/>
            <rFont val="Tahoma"/>
            <family val="2"/>
          </rPr>
          <t>Holding period Yield is the Internal Rate of Return (IRR) on the bond brought at the some price on the pruchase date and sold at some price at the sale date.</t>
        </r>
      </text>
    </comment>
    <comment ref="D30" authorId="1" shapeId="0" xr:uid="{F7101D94-D2EC-4DB6-B4F3-2AA292C57837}">
      <text>
        <r>
          <rPr>
            <sz val="9"/>
            <color rgb="FF000000"/>
            <rFont val="Tahoma"/>
            <family val="2"/>
          </rPr>
          <t>Expected compounded return is the modified internal rate of return (MIRR) on the bond brought at the some price on the pruchase date and sold at some price at the sale date.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584580-928D-4A22-B7F4-8228D5990C64}" keepAlive="1" name="Query - Table 0" description="Connection to the 'Table 0' query in the workbook." type="5" refreshedVersion="6" background="1">
    <dbPr connection="Provider=Microsoft.Mashup.OleDb.1;Data Source=$Workbook$;Location=&quot;Table 0&quot;;Extended Properties=&quot;&quot;" command="SELECT * FROM [Table 0]"/>
  </connection>
  <connection id="2" xr16:uid="{6F12360D-5F88-4281-9BD0-DD1EA7C6F43D}" keepAlive="1" name="Query - Table 0 (2)" description="Connection to the 'Table 0 (2)' query in the workbook." type="5" refreshedVersion="6" background="1" saveData="1">
    <dbPr connection="Provider=Microsoft.Mashup.OleDb.1;Data Source=$Workbook$;Location=&quot;Table 0 (2)&quot;;Extended Properties=&quot;&quot;" command="SELECT * FROM [Table 0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<sst xmlns="http://schemas.openxmlformats.org/spreadsheetml/2006/main" count="310" uniqueCount="197">
  <si>
    <t>Bond Analyst</t>
  </si>
  <si>
    <t>Bond Data</t>
  </si>
  <si>
    <t>Issuer</t>
  </si>
  <si>
    <t>Maturity Date</t>
  </si>
  <si>
    <t>Annual Coupon Rate (% of Face Value)</t>
  </si>
  <si>
    <t>Coupon Frequency</t>
  </si>
  <si>
    <t>Face Value</t>
  </si>
  <si>
    <t>Bond Rating</t>
  </si>
  <si>
    <t>Today's Date</t>
  </si>
  <si>
    <t>OCC &amp; YTM Methods</t>
  </si>
  <si>
    <t>Purchase</t>
  </si>
  <si>
    <t>Purchase Date</t>
  </si>
  <si>
    <t>Quoted Price (% of Face Value)</t>
  </si>
  <si>
    <t>OCC (%)</t>
  </si>
  <si>
    <t>Interest Rate Shock (For Bond Price Sensitivity)</t>
  </si>
  <si>
    <t>Interest Rate Shock for Bond Price Sensitivity (%)</t>
  </si>
  <si>
    <t>Sale</t>
  </si>
  <si>
    <t>Sale Date</t>
  </si>
  <si>
    <t>YTM (%)</t>
  </si>
  <si>
    <t>Designer Parameters</t>
    <phoneticPr fontId="4" type="noConversion"/>
  </si>
  <si>
    <t>Annual</t>
    <phoneticPr fontId="4" type="noConversion"/>
  </si>
  <si>
    <t>Semiannual</t>
  </si>
  <si>
    <t>Semiannual</t>
    <phoneticPr fontId="4" type="noConversion"/>
  </si>
  <si>
    <t>Coupon Frequencies</t>
    <phoneticPr fontId="4" type="noConversion"/>
  </si>
  <si>
    <t>Months per year</t>
    <phoneticPr fontId="4" type="noConversion"/>
  </si>
  <si>
    <t>Face Values</t>
    <phoneticPr fontId="4" type="noConversion"/>
  </si>
  <si>
    <t>Bond Ratings</t>
    <phoneticPr fontId="4" type="noConversion"/>
  </si>
  <si>
    <t>OCC &amp; YTM Methods</t>
    <phoneticPr fontId="4" type="noConversion"/>
  </si>
  <si>
    <t>Entered</t>
    <phoneticPr fontId="4" type="noConversion"/>
  </si>
  <si>
    <t>Estimated</t>
    <phoneticPr fontId="4" type="noConversion"/>
  </si>
  <si>
    <t>Yield Curve Fitting Methods</t>
    <phoneticPr fontId="4" type="noConversion"/>
  </si>
  <si>
    <t>Piecewise Linear</t>
    <phoneticPr fontId="4" type="noConversion"/>
  </si>
  <si>
    <t>Third Order Polynomial</t>
    <phoneticPr fontId="4" type="noConversion"/>
  </si>
  <si>
    <t>Treasury</t>
    <phoneticPr fontId="4" type="noConversion"/>
  </si>
  <si>
    <t>Corp/AAA</t>
  </si>
  <si>
    <t>Corp/AAA</t>
    <phoneticPr fontId="4" type="noConversion"/>
  </si>
  <si>
    <t>Corp/BBB</t>
    <phoneticPr fontId="4" type="noConversion"/>
  </si>
  <si>
    <t>Corp/CCC</t>
    <phoneticPr fontId="4" type="noConversion"/>
  </si>
  <si>
    <t>Process for finding the number of coupons from purchase to maturity</t>
    <phoneticPr fontId="4" type="noConversion"/>
  </si>
  <si>
    <t>Values for plotting the bond price trajectory</t>
    <phoneticPr fontId="4" type="noConversion"/>
  </si>
  <si>
    <t>n</t>
    <phoneticPr fontId="4" type="noConversion"/>
  </si>
  <si>
    <t>P</t>
    <phoneticPr fontId="4" type="noConversion"/>
  </si>
  <si>
    <t>Coupons Parameters Based on User Selections</t>
    <phoneticPr fontId="4" type="noConversion"/>
  </si>
  <si>
    <t>Coupons per year</t>
    <phoneticPr fontId="4" type="noConversion"/>
  </si>
  <si>
    <t>Months between coupons</t>
    <phoneticPr fontId="4" type="noConversion"/>
  </si>
  <si>
    <t>Periodic coupon amount</t>
    <phoneticPr fontId="4" type="noConversion"/>
  </si>
  <si>
    <t>At Purchase</t>
    <phoneticPr fontId="4" type="noConversion"/>
  </si>
  <si>
    <t>N coupons remaining</t>
    <phoneticPr fontId="4" type="noConversion"/>
  </si>
  <si>
    <t>Next coupon date</t>
    <phoneticPr fontId="4" type="noConversion"/>
  </si>
  <si>
    <t>Previous coupon date</t>
    <phoneticPr fontId="4" type="noConversion"/>
  </si>
  <si>
    <t>Days between coupons</t>
    <phoneticPr fontId="4" type="noConversion"/>
  </si>
  <si>
    <t>Days since last coupon</t>
    <phoneticPr fontId="4" type="noConversion"/>
  </si>
  <si>
    <t>p (fraction of period since last coupon)</t>
    <phoneticPr fontId="4" type="noConversion"/>
  </si>
  <si>
    <t xml:space="preserve">Accrued coupon </t>
    <phoneticPr fontId="4" type="noConversion"/>
  </si>
  <si>
    <t>Quoted price</t>
    <phoneticPr fontId="4" type="noConversion"/>
  </si>
  <si>
    <t>Invoice price</t>
    <phoneticPr fontId="4" type="noConversion"/>
  </si>
  <si>
    <t>P_0: Invoice price/(1+YTM)^p</t>
    <phoneticPr fontId="4" type="noConversion"/>
  </si>
  <si>
    <t>YTM(Periodic)</t>
    <phoneticPr fontId="4" type="noConversion"/>
  </si>
  <si>
    <t>YTM(Annual)</t>
    <phoneticPr fontId="4" type="noConversion"/>
  </si>
  <si>
    <t>OCC(Periodic)</t>
    <phoneticPr fontId="4" type="noConversion"/>
  </si>
  <si>
    <t>OCC(Annual)</t>
    <phoneticPr fontId="4" type="noConversion"/>
  </si>
  <si>
    <t>Quoted Value</t>
    <phoneticPr fontId="4" type="noConversion"/>
  </si>
  <si>
    <t>Invoice Value</t>
    <phoneticPr fontId="4" type="noConversion"/>
  </si>
  <si>
    <t>YTM+Δy(Periodic)</t>
    <phoneticPr fontId="4" type="noConversion"/>
  </si>
  <si>
    <t>Invoice price @ YTM+Δy</t>
    <phoneticPr fontId="4" type="noConversion"/>
  </si>
  <si>
    <t>On Purchase Date</t>
    <phoneticPr fontId="4" type="noConversion"/>
  </si>
  <si>
    <t>Quoted Price</t>
    <phoneticPr fontId="4" type="noConversion"/>
  </si>
  <si>
    <t>Invoice Price</t>
    <phoneticPr fontId="4" type="noConversion"/>
  </si>
  <si>
    <t>OCC(%)</t>
    <phoneticPr fontId="4" type="noConversion"/>
  </si>
  <si>
    <t>Quoted Value</t>
    <phoneticPr fontId="4" type="noConversion"/>
  </si>
  <si>
    <t>Invoice Value</t>
    <phoneticPr fontId="4" type="noConversion"/>
  </si>
  <si>
    <t>Interest Rate Sensitivity</t>
    <phoneticPr fontId="4" type="noConversion"/>
  </si>
  <si>
    <t>On Sale Date</t>
    <phoneticPr fontId="4" type="noConversion"/>
  </si>
  <si>
    <t>Holding Period</t>
    <phoneticPr fontId="4" type="noConversion"/>
  </si>
  <si>
    <t>Invoice P@y</t>
    <phoneticPr fontId="4" type="noConversion"/>
  </si>
  <si>
    <t>Invoice P@y+Δy</t>
    <phoneticPr fontId="4" type="noConversion"/>
  </si>
  <si>
    <t>ΔP/P (%)</t>
    <phoneticPr fontId="4" type="noConversion"/>
  </si>
  <si>
    <t>ECR (%)</t>
    <phoneticPr fontId="4" type="noConversion"/>
  </si>
  <si>
    <t>HPY (%)</t>
    <phoneticPr fontId="4" type="noConversion"/>
  </si>
  <si>
    <t>YTM (%)</t>
    <phoneticPr fontId="4" type="noConversion"/>
  </si>
  <si>
    <t>Δy (%)</t>
    <phoneticPr fontId="4" type="noConversion"/>
  </si>
  <si>
    <t>OCC (%)</t>
    <phoneticPr fontId="4" type="noConversion"/>
  </si>
  <si>
    <t>Future Cash Flows from the Bond</t>
    <phoneticPr fontId="4" type="noConversion"/>
  </si>
  <si>
    <t>t</t>
    <phoneticPr fontId="4" type="noConversion"/>
  </si>
  <si>
    <t>Date</t>
    <phoneticPr fontId="4" type="noConversion"/>
  </si>
  <si>
    <t>CF</t>
    <phoneticPr fontId="4" type="noConversion"/>
  </si>
  <si>
    <t>Between Purchase and Sale</t>
    <phoneticPr fontId="4" type="noConversion"/>
  </si>
  <si>
    <t xml:space="preserve">N coupons </t>
    <phoneticPr fontId="4" type="noConversion"/>
  </si>
  <si>
    <t>At Sale</t>
    <phoneticPr fontId="4" type="noConversion"/>
  </si>
  <si>
    <t>For HPY Calculation</t>
    <phoneticPr fontId="4" type="noConversion"/>
  </si>
  <si>
    <t>For ECR Calculation</t>
    <phoneticPr fontId="4" type="noConversion"/>
  </si>
  <si>
    <t>s (fraction of period since last coupon)</t>
    <phoneticPr fontId="4" type="noConversion"/>
  </si>
  <si>
    <t>S+s</t>
    <phoneticPr fontId="4" type="noConversion"/>
  </si>
  <si>
    <t>HPY(Periodic)</t>
    <phoneticPr fontId="4" type="noConversion"/>
  </si>
  <si>
    <t>P_0 (Invoice price at purchase/(1+HPY)^p)</t>
    <phoneticPr fontId="4" type="noConversion"/>
  </si>
  <si>
    <t>P_S (Invoice price at sale/(1+HPY)^s)</t>
    <phoneticPr fontId="4" type="noConversion"/>
  </si>
  <si>
    <t>FV @ S+s, using OCC @ p</t>
    <phoneticPr fontId="4" type="noConversion"/>
  </si>
  <si>
    <t>ECR per period</t>
    <phoneticPr fontId="4" type="noConversion"/>
  </si>
  <si>
    <t>Date</t>
  </si>
  <si>
    <t>1 mo</t>
  </si>
  <si>
    <t>2 mo</t>
  </si>
  <si>
    <t>3 mo</t>
  </si>
  <si>
    <t>6 mo</t>
  </si>
  <si>
    <t>1 yr</t>
  </si>
  <si>
    <t>2 yr</t>
  </si>
  <si>
    <t>3 yr</t>
  </si>
  <si>
    <t>5 yr</t>
  </si>
  <si>
    <t>7 yr</t>
  </si>
  <si>
    <t>10 yr</t>
  </si>
  <si>
    <t>20 yr</t>
  </si>
  <si>
    <t>30 yr</t>
  </si>
  <si>
    <t>#</t>
  </si>
  <si>
    <t>Row # from Last Data</t>
  </si>
  <si>
    <t>Interest Rates for Different Corporate Bonds</t>
  </si>
  <si>
    <t>As of</t>
  </si>
  <si>
    <t>3 Mo</t>
  </si>
  <si>
    <t>1 Yr</t>
  </si>
  <si>
    <t>5 Yr</t>
  </si>
  <si>
    <t>10 Yr</t>
  </si>
  <si>
    <t>30 Yr</t>
  </si>
  <si>
    <t>Treasury</t>
  </si>
  <si>
    <t>Corp/AA</t>
  </si>
  <si>
    <t>Corp/A</t>
  </si>
  <si>
    <t>Corp/BBB</t>
  </si>
  <si>
    <t>Corp/BB</t>
  </si>
  <si>
    <t>Corp/B</t>
  </si>
  <si>
    <t>Corp/CCC</t>
  </si>
  <si>
    <t>Risk Premium</t>
  </si>
  <si>
    <t>Values for Chart and Table</t>
  </si>
  <si>
    <t>Bond Selected by User</t>
  </si>
  <si>
    <t>Estimated</t>
  </si>
  <si>
    <t>Purchase Date Yield Curve Shift</t>
  </si>
  <si>
    <t>Sale Date Yield Curve Shift</t>
  </si>
  <si>
    <t>Chart Titles</t>
  </si>
  <si>
    <t>YTM</t>
  </si>
  <si>
    <t>YTM + Risk Premium</t>
  </si>
  <si>
    <t>Purchase Date (YTM + RP + Shift)</t>
  </si>
  <si>
    <t>Sale Date (TYM + RP + Shift)</t>
  </si>
  <si>
    <t>Years between Purchase and Maturity</t>
  </si>
  <si>
    <t>Years between Sale and Maturity</t>
  </si>
  <si>
    <t>Length of Bond</t>
  </si>
  <si>
    <t>Previous Year Index</t>
  </si>
  <si>
    <t>Proceeding Year Index</t>
  </si>
  <si>
    <t>Year</t>
  </si>
  <si>
    <t>OCC</t>
  </si>
  <si>
    <t>Pre</t>
  </si>
  <si>
    <t>Actual</t>
  </si>
  <si>
    <t>Post</t>
  </si>
  <si>
    <t>Linear Interpolation</t>
  </si>
  <si>
    <t>Third OrderPolynomial - Purchase</t>
  </si>
  <si>
    <t>Y</t>
  </si>
  <si>
    <t>X</t>
  </si>
  <si>
    <t>X^2</t>
  </si>
  <si>
    <t>X^3</t>
  </si>
  <si>
    <t>Coeff X^3</t>
  </si>
  <si>
    <t>Coeff X^2</t>
  </si>
  <si>
    <t>Coeff X</t>
  </si>
  <si>
    <t>Intercept</t>
  </si>
  <si>
    <t>OCC @ Purchase Date</t>
  </si>
  <si>
    <t>Third OrderPolynomial - Sale</t>
  </si>
  <si>
    <t>OCC @ Sale</t>
  </si>
  <si>
    <t>OCC Point Plotting</t>
  </si>
  <si>
    <t>Third Order Polynomial</t>
  </si>
  <si>
    <t xml:space="preserve">Quoted Yield Vs Quoted Price on Purchase </t>
  </si>
  <si>
    <t>Recommendation</t>
  </si>
  <si>
    <t>Bond Valuation and Interst Rate Sensitivity</t>
  </si>
  <si>
    <t>Using the model</t>
  </si>
  <si>
    <t>Introduction</t>
  </si>
  <si>
    <t xml:space="preserve">Users need to type basic information about the bond such as the name of the bond's issuer, maturity rate, annual coupon rate,coupon frequency, face value and bond rating. </t>
  </si>
  <si>
    <t>There are two methods could be chosen, they are "Entered" Method and "Estimated"methods. Users need to choose one of them to value the bond and do the analysis.</t>
  </si>
  <si>
    <t>For the data when users purchase the bond, the users need to type the exact bond's purchased date and quoted price. Also, the users need to type the rate of OCC or the rate of YTM based on the method they choose.</t>
  </si>
  <si>
    <t>About Interest Rate Shock for Bond Price Sensitivity, users need to be careful about whether it is positive or negative.</t>
  </si>
  <si>
    <t xml:space="preserve">For the data when users sale the bond, users need to type the exact sale date, OCC and yield to maturity.
</t>
  </si>
  <si>
    <t xml:space="preserve">Last but not the least, users need to pay attention that all of the rates that need to be typed should be kept the number part of the rate which means the number you typed is actually 100 times of the rate. </t>
  </si>
  <si>
    <t>Buttons</t>
  </si>
  <si>
    <t xml:space="preserve">To use the model, user must provide certain inputs. User input cells are highlighted in Orange. </t>
  </si>
  <si>
    <t>There are lot of buttons that could navigate user to different areas and charts. For example, by pressing the "Go To Model" button, user would be transferred to the "Bond Analyst". And this function applies to other buttons which named started with "Go To" as well.</t>
  </si>
  <si>
    <t>Romelco</t>
  </si>
  <si>
    <t>Backup and restore area</t>
  </si>
  <si>
    <t>Restore Deflualt Input</t>
  </si>
  <si>
    <t>Also, there are a lot of buttons could help you to backup data, restore data and restore deflualt input. Users could know there function based on the name of the buttons.</t>
  </si>
  <si>
    <t>Piecewise Linear</t>
  </si>
  <si>
    <t>In a modern competitive finance world, it is important to  take actions based on proper analysis. This model can help the user  analysis a certain bond, based on the imformation the user input. The output include the YTM and OCC , Invoice price and value, Quoted price and value, HPY and ECR. Moreover, based on the output described above,it will recommend the user to buy,sell or hold the bond.</t>
    <phoneticPr fontId="4" type="noConversion"/>
  </si>
  <si>
    <t>The output include the information following:
On Purchase date, the output will give the Quoted price and Invoice price based on the YTM calculated. And the Invoice value and Quoted value will be calculated with the OCC. These information will tell the users if the bond was priced properly ,underpriced or overvalued, to find if there is an arbitrage opportunity.</t>
    <phoneticPr fontId="4" type="noConversion"/>
  </si>
  <si>
    <t>The model also gives information on interest rate sensitivity of bond Invoice price at Purchase date. This can make the user aware of the potential risk of the price fluctuation.</t>
    <phoneticPr fontId="4" type="noConversion"/>
  </si>
  <si>
    <t xml:space="preserve">On Sale Date, just like the Purchase day output, the Quoted Price, Invoice Price and Quoted Value, Invoice Value will also be given based on YTM and OCC, respectively. </t>
    <phoneticPr fontId="4" type="noConversion"/>
  </si>
  <si>
    <r>
      <t xml:space="preserve">The last section is about the overall Informations. </t>
    </r>
    <r>
      <rPr>
        <b/>
        <sz val="11"/>
        <color theme="1"/>
        <rFont val="Calibri"/>
        <family val="3"/>
        <charset val="134"/>
        <scheme val="minor"/>
      </rPr>
      <t>HPY(Holding Period Yield)</t>
    </r>
    <r>
      <rPr>
        <sz val="11"/>
        <color theme="1"/>
        <rFont val="Calibri"/>
        <family val="2"/>
        <scheme val="minor"/>
      </rPr>
      <t xml:space="preserve"> and </t>
    </r>
    <r>
      <rPr>
        <b/>
        <sz val="11"/>
        <color theme="1"/>
        <rFont val="Calibri"/>
        <family val="3"/>
        <charset val="134"/>
        <scheme val="minor"/>
      </rPr>
      <t xml:space="preserve">ECR(Expected Compounded Return) </t>
    </r>
    <r>
      <rPr>
        <sz val="11"/>
        <color theme="1"/>
        <rFont val="Calibri"/>
        <family val="2"/>
        <scheme val="minor"/>
      </rPr>
      <t>are given as results of the model. By purchasing the bond and selling it at the above calculated Prices, the trading HPY and ECR are calculated respectively. This can tell the user the overall trading performance of certain bonds.</t>
    </r>
    <phoneticPr fontId="4" type="noConversion"/>
  </si>
  <si>
    <t>The output will be different when the user switch to Estimated method, which the model will estimate the OCC &amp; YTM by comparing other bonds.</t>
    <phoneticPr fontId="4" type="noConversion"/>
  </si>
  <si>
    <t>Interpreting the result</t>
    <phoneticPr fontId="4" type="noConversion"/>
  </si>
  <si>
    <t>Technical Details</t>
    <phoneticPr fontId="4" type="noConversion"/>
  </si>
  <si>
    <t>Holding Period Cash Flows</t>
    <phoneticPr fontId="4" type="noConversion"/>
  </si>
  <si>
    <t>Purchase</t>
    <phoneticPr fontId="4" type="noConversion"/>
  </si>
  <si>
    <t>Entered</t>
  </si>
  <si>
    <t>Navigation Buttons</t>
  </si>
  <si>
    <t>Yield Curves</t>
  </si>
  <si>
    <t xml:space="preserve">Work Area: Please do not make changes unless you know what you are doing </t>
  </si>
  <si>
    <t xml:space="preserve">In this model, we use present value function: PV = –PV(r, T, C, F) to value a bond. This means we accumulated coupon which is after discounting. However, when the users want to value the bond at a time point between two coupon dates, they need to use a more complicated formula, Vp = V0(1 + r)p, which includes the interest between the previous coupon date and current date.
Also, we use the YTM. Yield to maturity is the annualized rate of return based on the price and future cash flows (coupons and face value). To calculate that we use the formula: YTM=Rate(T, C, PV, FV)
Similarly, the model apply two measures of annualized rate of return on the bond bought at some price on the purchased date and sold at some price at the sale date. They are Holding period yield (HPY) which is internal rate of return (IRR) of the cash flows and expected compounded return (ECR) which is modified internal rate of return. 
There are two prices in the model named quoted price and invoice price. Quoted price is the trade price in the market while Invoice price is the actual cash flow amount this is because the trade date is between two coupon payment date. So the formular between two prices is Invoice Price = Quoted Price + Accrued Coupon= Quoted Price + Coupon per period × (Days since last coupon)/(Days between coupons)
In this model, we use present value function: PV = –PV(r, T, C, F) to value a bond. This means we accumulated coupon which is after discounting. However, when the users want to value the bond at a time point between two coupon dates, they need to use a more complicated formula, Vp = V0(1 + r)p, which includes the interest between the previous coupon date and current date.
Also, we use the YTM. Yield to maturity is the annualized rate of return based on the price and future cash flows (coupons and face value). To calculate that we use the formula: YTM=Rate(T, C, PV, FV)
Similarly, the model apply two measures of annualized rate of return on the bond bought at some price on the purchased date and sold at some price at the sale date. They are Holding period yield (HPY) which is internal rate of return (IRR) of the cash flows and expected compounded return (ECR) which is modified internal rate of return. 
There are two prices in the model named quoted price and invoice price. Quoted price is the trade price in the market while Invoice price is the actual cash flow amount this is because the trade date is between two coupon payment date. So the formular between two prices is Invoice Price = Quoted Price + Accrued Coupon= Quoted Price + Coupon per period × (Days since last coupon)/(Days between coupons)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</si>
</sst>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_);[Red]\(\$#,##0\)"/>
    <numFmt numFmtId="165" formatCode="\$#,##0.00_);[Red]\(\$#,##0.00\)"/>
    <numFmt numFmtId="166" formatCode="0.000_);[Red]\(0.000\)"/>
    <numFmt numFmtId="167" formatCode="m/d/yyyy;@"/>
    <numFmt numFmtId="168" formatCode="0.0000"/>
    <numFmt numFmtId="169" formatCode="0.000_ "/>
    <numFmt numFmtId="170" formatCode="0.000%"/>
    <numFmt numFmtId="171" formatCode="\$#,##0.00;[Red]\-\$#,##0.00"/>
    <numFmt numFmtId="172" formatCode="0.0000_ "/>
    <numFmt numFmtId="173" formatCode="0.000"/>
    <numFmt numFmtId="175" formatCode="&quot;+&quot;0.0000;&quot;-&quot;0.0000;0.0000;"/>
    <numFmt numFmtId="176" formatCode="&quot;+&quot;0.00;&quot;-&quot;0.00;0.00"/>
    <numFmt numFmtId="177" formatCode="0.0000%"/>
    <numFmt numFmtId="178" formatCode="&quot;$&quot;#,##0.00"/>
    <numFmt numFmtId="179" formatCode="&quot;+&quot;0.000;&quot;-&quot;0.000;0.000"/>
  </numFmts>
  <fonts count="22" x14ac:knownFonts="1">
    <font>
      <sz val="11"/>
      <color theme="1"/>
      <name val="Calibri"/>
      <family val="2"/>
      <scheme val="minor"/>
    </font>
    <font>
      <sz val="11"/>
      <color rgb="FF3F3F76"/>
      <name val="Calibri"/>
      <family val="2"/>
      <scheme val="minor"/>
    </font>
    <font>
      <b/>
      <sz val="11"/>
      <color theme="0"/>
      <name val="Calibri"/>
      <family val="2"/>
      <scheme val="minor"/>
    </font>
    <font>
      <b/>
      <sz val="16"/>
      <color rgb="FF002060"/>
      <name val="Calibri"/>
      <family val="2"/>
      <scheme val="minor"/>
    </font>
    <font>
      <sz val="9"/>
      <name val="Calibri"/>
      <family val="3"/>
      <charset val="134"/>
      <scheme val="minor"/>
    </font>
    <font>
      <b/>
      <sz val="11"/>
      <color theme="1"/>
      <name val="Calibri"/>
      <family val="3"/>
      <charset val="134"/>
      <scheme val="minor"/>
    </font>
    <font>
      <b/>
      <sz val="11"/>
      <color theme="0"/>
      <name val="Calibri"/>
      <family val="3"/>
      <charset val="134"/>
      <scheme val="minor"/>
    </font>
    <font>
      <b/>
      <sz val="10"/>
      <color theme="0"/>
      <name val="Calibri"/>
      <family val="3"/>
      <charset val="134"/>
      <scheme val="minor"/>
    </font>
    <font>
      <sz val="11"/>
      <color theme="1"/>
      <name val="Calibri"/>
      <family val="2"/>
      <scheme val="minor"/>
    </font>
    <font>
      <b/>
      <sz val="11"/>
      <color theme="1"/>
      <name val="Calibri"/>
      <family val="2"/>
      <scheme val="minor"/>
    </font>
    <font>
      <b/>
      <sz val="16"/>
      <color theme="1"/>
      <name val="Calibri"/>
      <family val="2"/>
      <scheme val="minor"/>
    </font>
    <font>
      <sz val="9"/>
      <color rgb="FF000000"/>
      <name val="Tahoma"/>
      <family val="2"/>
    </font>
    <font>
      <sz val="9"/>
      <color indexed="81"/>
      <name val="Tahoma"/>
      <family val="2"/>
    </font>
    <font>
      <b/>
      <sz val="12"/>
      <color theme="1"/>
      <name val="Calibri"/>
      <family val="2"/>
      <scheme val="minor"/>
    </font>
    <font>
      <sz val="11"/>
      <color rgb="FF000000"/>
      <name val="Calibri"/>
      <family val="2"/>
    </font>
    <font>
      <sz val="11"/>
      <color rgb="FF000000"/>
      <name val="Calibri"/>
      <family val="2"/>
      <scheme val="minor"/>
    </font>
    <font>
      <b/>
      <u/>
      <sz val="11"/>
      <color theme="1"/>
      <name val="Calibri"/>
      <family val="2"/>
      <scheme val="minor"/>
    </font>
    <font>
      <b/>
      <i/>
      <sz val="11"/>
      <color theme="1"/>
      <name val="Calibri"/>
      <family val="2"/>
      <scheme val="minor"/>
    </font>
    <font>
      <b/>
      <sz val="12"/>
      <color theme="0"/>
      <name val="Calibri"/>
      <family val="2"/>
      <scheme val="minor"/>
    </font>
    <font>
      <b/>
      <sz val="14"/>
      <color theme="0"/>
      <name val="Calibri"/>
      <family val="2"/>
      <scheme val="minor"/>
    </font>
    <font>
      <b/>
      <sz val="9"/>
      <color rgb="FF000000"/>
      <name val="Tahoma"/>
      <family val="2"/>
    </font>
    <font>
      <sz val="12"/>
      <color rgb="FF000000"/>
      <name val="Calibri"/>
      <family val="2"/>
    </font>
  </fonts>
  <fills count="12">
    <fill>
      <patternFill patternType="none"/>
    </fill>
    <fill>
      <patternFill patternType="gray125"/>
    </fill>
    <fill>
      <patternFill patternType="solid">
        <fgColor rgb="FFFFCC99"/>
      </patternFill>
    </fill>
    <fill>
      <patternFill patternType="solid">
        <fgColor rgb="FFFFC000"/>
        <bgColor indexed="64"/>
      </patternFill>
    </fill>
    <fill>
      <patternFill patternType="solid">
        <fgColor theme="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5"/>
        <bgColor indexed="64"/>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rgb="FF7F7F7F"/>
      </right>
      <top/>
      <bottom style="thin">
        <color rgb="FF7F7F7F"/>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 fillId="2" borderId="1" applyNumberFormat="0" applyAlignment="0" applyProtection="0"/>
    <xf numFmtId="9" fontId="8" fillId="0" borderId="0" applyFont="0" applyFill="0" applyBorder="0" applyAlignment="0" applyProtection="0">
      <alignment vertical="center"/>
    </xf>
  </cellStyleXfs>
  <cellXfs count="130">
    <xf numFmtId="0" fontId="0" fillId="0" borderId="0" xfId="0"/>
    <xf numFmtId="0" fontId="0" fillId="5" borderId="3" xfId="0" applyFill="1" applyBorder="1"/>
    <xf numFmtId="0" fontId="0" fillId="5" borderId="2" xfId="0" applyFill="1" applyBorder="1"/>
    <xf numFmtId="0" fontId="0" fillId="5" borderId="4" xfId="0" applyFill="1" applyBorder="1"/>
    <xf numFmtId="0" fontId="1" fillId="2" borderId="5" xfId="1" applyBorder="1" applyAlignment="1">
      <alignment horizontal="right"/>
    </xf>
    <xf numFmtId="0" fontId="1" fillId="2" borderId="2" xfId="1" applyBorder="1" applyAlignment="1">
      <alignment horizontal="right"/>
    </xf>
    <xf numFmtId="0" fontId="5" fillId="5" borderId="2" xfId="0" applyFont="1" applyFill="1" applyBorder="1"/>
    <xf numFmtId="0" fontId="0" fillId="6" borderId="2" xfId="0" applyFill="1" applyBorder="1"/>
    <xf numFmtId="164" fontId="0" fillId="6" borderId="2" xfId="0" applyNumberFormat="1" applyFill="1" applyBorder="1"/>
    <xf numFmtId="0" fontId="0" fillId="5" borderId="2" xfId="0" applyFill="1" applyBorder="1" applyAlignment="1">
      <alignment horizontal="right"/>
    </xf>
    <xf numFmtId="166" fontId="1" fillId="2" borderId="5" xfId="1" applyNumberFormat="1" applyBorder="1" applyAlignment="1">
      <alignment horizontal="right"/>
    </xf>
    <xf numFmtId="0" fontId="0" fillId="0" borderId="2" xfId="0" applyBorder="1"/>
    <xf numFmtId="167" fontId="1" fillId="2" borderId="5" xfId="1" applyNumberFormat="1" applyBorder="1" applyAlignment="1">
      <alignment horizontal="right"/>
    </xf>
    <xf numFmtId="167" fontId="0" fillId="0" borderId="0" xfId="0" applyNumberFormat="1"/>
    <xf numFmtId="167" fontId="0" fillId="0" borderId="2" xfId="0" applyNumberFormat="1" applyBorder="1"/>
    <xf numFmtId="0" fontId="0" fillId="0" borderId="2" xfId="0" applyNumberFormat="1" applyBorder="1"/>
    <xf numFmtId="168" fontId="0" fillId="0" borderId="2" xfId="0" applyNumberFormat="1" applyBorder="1"/>
    <xf numFmtId="165" fontId="1" fillId="2" borderId="5" xfId="1" applyNumberFormat="1" applyBorder="1" applyAlignment="1">
      <alignment horizontal="right"/>
    </xf>
    <xf numFmtId="165" fontId="0" fillId="0" borderId="2" xfId="0" applyNumberFormat="1" applyBorder="1"/>
    <xf numFmtId="165" fontId="0" fillId="0" borderId="2" xfId="0" applyNumberFormat="1" applyBorder="1" applyAlignment="1">
      <alignment horizontal="right" vertical="center"/>
    </xf>
    <xf numFmtId="169" fontId="1" fillId="2" borderId="5" xfId="1" applyNumberFormat="1" applyBorder="1" applyAlignment="1">
      <alignment horizontal="right"/>
    </xf>
    <xf numFmtId="9" fontId="0" fillId="0" borderId="0" xfId="0" applyNumberFormat="1"/>
    <xf numFmtId="170" fontId="0" fillId="0" borderId="2" xfId="0" applyNumberFormat="1" applyBorder="1"/>
    <xf numFmtId="170" fontId="0" fillId="0" borderId="2" xfId="2" applyNumberFormat="1" applyFont="1" applyBorder="1" applyAlignment="1"/>
    <xf numFmtId="171" fontId="0" fillId="0" borderId="2" xfId="0" applyNumberFormat="1" applyBorder="1"/>
    <xf numFmtId="167" fontId="1" fillId="2" borderId="1" xfId="1" applyNumberFormat="1"/>
    <xf numFmtId="172" fontId="0" fillId="0" borderId="2" xfId="0" applyNumberFormat="1" applyBorder="1"/>
    <xf numFmtId="173" fontId="1" fillId="2" borderId="5" xfId="1" applyNumberFormat="1" applyBorder="1" applyAlignment="1">
      <alignment horizontal="right"/>
    </xf>
    <xf numFmtId="14" fontId="0" fillId="0" borderId="0" xfId="0" applyNumberFormat="1"/>
    <xf numFmtId="173" fontId="0" fillId="0" borderId="2" xfId="0" applyNumberFormat="1" applyBorder="1"/>
    <xf numFmtId="0" fontId="9" fillId="0" borderId="2" xfId="0" applyFont="1" applyBorder="1"/>
    <xf numFmtId="0" fontId="0" fillId="0" borderId="0" xfId="0" applyBorder="1"/>
    <xf numFmtId="0" fontId="0" fillId="0" borderId="0" xfId="0" applyAlignment="1">
      <alignment horizontal="center"/>
    </xf>
    <xf numFmtId="14" fontId="0" fillId="0" borderId="2" xfId="0" applyNumberFormat="1" applyBorder="1"/>
    <xf numFmtId="10" fontId="0" fillId="0" borderId="2" xfId="0" applyNumberFormat="1" applyBorder="1"/>
    <xf numFmtId="175" fontId="1" fillId="2" borderId="5" xfId="1" applyNumberFormat="1" applyBorder="1" applyAlignment="1">
      <alignment horizontal="right"/>
    </xf>
    <xf numFmtId="0" fontId="1" fillId="2" borderId="1" xfId="1"/>
    <xf numFmtId="0" fontId="0" fillId="0" borderId="0" xfId="0" applyAlignment="1"/>
    <xf numFmtId="10" fontId="0" fillId="0" borderId="2" xfId="2" applyNumberFormat="1" applyFont="1" applyBorder="1" applyAlignment="1"/>
    <xf numFmtId="0" fontId="0" fillId="0" borderId="3" xfId="0" applyBorder="1"/>
    <xf numFmtId="0" fontId="0" fillId="0" borderId="11" xfId="0" applyBorder="1"/>
    <xf numFmtId="0" fontId="0" fillId="0" borderId="10" xfId="0" applyBorder="1"/>
    <xf numFmtId="0" fontId="0" fillId="0" borderId="6" xfId="0" applyBorder="1"/>
    <xf numFmtId="0" fontId="0" fillId="0" borderId="11" xfId="0" applyNumberFormat="1" applyBorder="1"/>
    <xf numFmtId="10" fontId="0" fillId="0" borderId="0" xfId="0" applyNumberFormat="1" applyBorder="1"/>
    <xf numFmtId="2" fontId="0" fillId="0" borderId="0" xfId="0" applyNumberFormat="1" applyBorder="1"/>
    <xf numFmtId="2" fontId="0" fillId="0" borderId="10" xfId="0" applyNumberFormat="1" applyBorder="1"/>
    <xf numFmtId="0" fontId="0" fillId="0" borderId="8" xfId="0" applyBorder="1"/>
    <xf numFmtId="173" fontId="9" fillId="0" borderId="2" xfId="0" applyNumberFormat="1" applyFont="1" applyBorder="1"/>
    <xf numFmtId="177" fontId="9" fillId="0" borderId="2" xfId="0" applyNumberFormat="1" applyFont="1" applyBorder="1"/>
    <xf numFmtId="170" fontId="9" fillId="0" borderId="2" xfId="2" applyNumberFormat="1" applyFont="1" applyBorder="1" applyAlignment="1"/>
    <xf numFmtId="0" fontId="0" fillId="0" borderId="9" xfId="0" applyBorder="1"/>
    <xf numFmtId="0" fontId="9" fillId="0" borderId="11" xfId="0" applyFont="1" applyBorder="1"/>
    <xf numFmtId="0" fontId="9" fillId="0" borderId="2" xfId="0" applyFont="1" applyBorder="1"/>
    <xf numFmtId="0" fontId="0" fillId="0" borderId="2" xfId="0" applyBorder="1"/>
    <xf numFmtId="0" fontId="0" fillId="0" borderId="0" xfId="0" applyAlignment="1">
      <alignment horizontal="right"/>
    </xf>
    <xf numFmtId="175" fontId="1" fillId="2" borderId="17" xfId="1" applyNumberFormat="1" applyBorder="1"/>
    <xf numFmtId="0" fontId="1" fillId="2" borderId="17" xfId="1" applyBorder="1"/>
    <xf numFmtId="0" fontId="1" fillId="2" borderId="17" xfId="1" applyBorder="1" applyAlignment="1">
      <alignment horizontal="right"/>
    </xf>
    <xf numFmtId="173" fontId="0" fillId="0" borderId="2" xfId="0" applyNumberFormat="1" applyBorder="1" applyAlignment="1">
      <alignment horizontal="right"/>
    </xf>
    <xf numFmtId="176" fontId="0" fillId="0" borderId="2" xfId="0" applyNumberFormat="1" applyBorder="1" applyAlignment="1">
      <alignment horizontal="right"/>
    </xf>
    <xf numFmtId="171" fontId="0" fillId="0" borderId="2" xfId="0" applyNumberFormat="1" applyBorder="1" applyAlignment="1">
      <alignment horizontal="right"/>
    </xf>
    <xf numFmtId="178" fontId="0" fillId="0" borderId="2" xfId="0" applyNumberFormat="1" applyBorder="1" applyAlignment="1">
      <alignment horizontal="right"/>
    </xf>
    <xf numFmtId="0" fontId="0" fillId="8" borderId="0" xfId="0" applyFill="1"/>
    <xf numFmtId="0" fontId="16" fillId="8" borderId="0" xfId="0" applyFont="1" applyFill="1"/>
    <xf numFmtId="0" fontId="0" fillId="8" borderId="0" xfId="0" applyFill="1" applyAlignment="1"/>
    <xf numFmtId="179" fontId="0" fillId="0" borderId="2" xfId="0" applyNumberFormat="1" applyBorder="1" applyAlignment="1">
      <alignment horizontal="right"/>
    </xf>
    <xf numFmtId="0" fontId="0" fillId="8" borderId="0" xfId="0" applyFill="1" applyAlignment="1">
      <alignment vertical="top" wrapText="1"/>
    </xf>
    <xf numFmtId="0" fontId="0" fillId="0" borderId="2" xfId="0" applyBorder="1"/>
    <xf numFmtId="0" fontId="0" fillId="10" borderId="0" xfId="0" applyFill="1" applyAlignment="1">
      <alignment horizontal="right"/>
    </xf>
    <xf numFmtId="0" fontId="0" fillId="10" borderId="0" xfId="0" applyFill="1"/>
    <xf numFmtId="14" fontId="0" fillId="10" borderId="0" xfId="0" applyNumberFormat="1" applyFill="1"/>
    <xf numFmtId="0" fontId="0" fillId="0" borderId="2" xfId="0" applyBorder="1" applyAlignment="1">
      <alignment horizontal="right"/>
    </xf>
    <xf numFmtId="178" fontId="0" fillId="0" borderId="2" xfId="0" applyNumberFormat="1" applyBorder="1" applyAlignment="1">
      <alignment horizontal="right" vertical="center"/>
    </xf>
    <xf numFmtId="0" fontId="0" fillId="0" borderId="2"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2" xfId="0" applyBorder="1" applyAlignment="1">
      <alignment horizontal="right"/>
    </xf>
    <xf numFmtId="0" fontId="0" fillId="0" borderId="25" xfId="0" applyBorder="1" applyAlignment="1">
      <alignment horizontal="right"/>
    </xf>
    <xf numFmtId="0" fontId="9" fillId="0" borderId="2" xfId="0" applyFont="1" applyBorder="1" applyAlignment="1">
      <alignment horizontal="right"/>
    </xf>
    <xf numFmtId="178" fontId="1" fillId="2" borderId="5" xfId="1" applyNumberFormat="1" applyBorder="1" applyAlignment="1">
      <alignment horizontal="right"/>
    </xf>
    <xf numFmtId="0" fontId="0" fillId="8" borderId="0" xfId="0" applyFill="1" applyAlignment="1">
      <alignment horizontal="left" vertical="top" wrapText="1"/>
    </xf>
    <xf numFmtId="0" fontId="10" fillId="9" borderId="6" xfId="0" applyFont="1" applyFill="1" applyBorder="1" applyAlignment="1">
      <alignment horizontal="center"/>
    </xf>
    <xf numFmtId="0" fontId="15" fillId="8" borderId="0" xfId="0" applyFont="1" applyFill="1" applyAlignment="1">
      <alignment horizontal="left" vertical="center" wrapText="1"/>
    </xf>
    <xf numFmtId="0" fontId="0" fillId="8" borderId="0" xfId="0" applyFill="1" applyAlignment="1">
      <alignment horizontal="left" wrapText="1"/>
    </xf>
    <xf numFmtId="0" fontId="17" fillId="8" borderId="0" xfId="0" applyFont="1" applyFill="1" applyAlignment="1">
      <alignment horizontal="left" wrapText="1"/>
    </xf>
    <xf numFmtId="0" fontId="9" fillId="10" borderId="18" xfId="0" applyFont="1" applyFill="1" applyBorder="1" applyAlignment="1">
      <alignment horizontal="center" wrapText="1"/>
    </xf>
    <xf numFmtId="0" fontId="9" fillId="10" borderId="19" xfId="0" applyFont="1" applyFill="1" applyBorder="1" applyAlignment="1">
      <alignment horizontal="center" wrapText="1"/>
    </xf>
    <xf numFmtId="0" fontId="9" fillId="10" borderId="20" xfId="0" applyFont="1" applyFill="1" applyBorder="1" applyAlignment="1">
      <alignment horizontal="center" wrapText="1"/>
    </xf>
    <xf numFmtId="0" fontId="9" fillId="10" borderId="23" xfId="0" applyFont="1" applyFill="1" applyBorder="1" applyAlignment="1">
      <alignment horizontal="center" wrapText="1"/>
    </xf>
    <xf numFmtId="0" fontId="9" fillId="10" borderId="24" xfId="0" applyFont="1" applyFill="1" applyBorder="1" applyAlignment="1">
      <alignment horizontal="center" wrapText="1"/>
    </xf>
    <xf numFmtId="0" fontId="9" fillId="10" borderId="25" xfId="0" applyFont="1" applyFill="1" applyBorder="1" applyAlignment="1">
      <alignment horizontal="center" wrapText="1"/>
    </xf>
    <xf numFmtId="0" fontId="9" fillId="10" borderId="18" xfId="0" applyFont="1" applyFill="1" applyBorder="1" applyAlignment="1">
      <alignment horizontal="center" vertical="center"/>
    </xf>
    <xf numFmtId="0" fontId="9" fillId="10" borderId="19" xfId="0" applyFont="1" applyFill="1" applyBorder="1" applyAlignment="1">
      <alignment horizontal="center" vertical="center"/>
    </xf>
    <xf numFmtId="0" fontId="9" fillId="10" borderId="20" xfId="0" applyFont="1" applyFill="1" applyBorder="1" applyAlignment="1">
      <alignment horizontal="center" vertical="center"/>
    </xf>
    <xf numFmtId="0" fontId="9" fillId="10" borderId="23" xfId="0" applyFont="1" applyFill="1" applyBorder="1" applyAlignment="1">
      <alignment horizontal="center" vertical="center"/>
    </xf>
    <xf numFmtId="0" fontId="9" fillId="10" borderId="24" xfId="0" applyFont="1" applyFill="1" applyBorder="1" applyAlignment="1">
      <alignment horizontal="center" vertical="center"/>
    </xf>
    <xf numFmtId="0" fontId="9" fillId="10" borderId="25" xfId="0" applyFont="1" applyFill="1" applyBorder="1" applyAlignment="1">
      <alignment horizontal="center" vertical="center"/>
    </xf>
    <xf numFmtId="0" fontId="9" fillId="6" borderId="2" xfId="0" applyFont="1" applyFill="1" applyBorder="1" applyAlignment="1">
      <alignment horizontal="center"/>
    </xf>
    <xf numFmtId="0" fontId="0" fillId="6" borderId="13" xfId="0" applyFill="1" applyBorder="1" applyAlignment="1">
      <alignment horizontal="center"/>
    </xf>
    <xf numFmtId="0" fontId="0" fillId="6" borderId="7" xfId="0" applyFill="1" applyBorder="1" applyAlignment="1">
      <alignment horizontal="center"/>
    </xf>
    <xf numFmtId="0" fontId="0" fillId="6" borderId="12" xfId="0" applyFill="1" applyBorder="1" applyAlignment="1">
      <alignment horizontal="center"/>
    </xf>
    <xf numFmtId="0" fontId="0" fillId="0" borderId="2" xfId="0" applyBorder="1" applyAlignment="1">
      <alignment horizontal="left"/>
    </xf>
    <xf numFmtId="0" fontId="6" fillId="4" borderId="2" xfId="0" applyFont="1" applyFill="1" applyBorder="1" applyAlignment="1">
      <alignment horizontal="center"/>
    </xf>
    <xf numFmtId="0" fontId="19" fillId="4" borderId="0" xfId="0" applyFont="1" applyFill="1" applyAlignment="1">
      <alignment horizontal="center" vertical="center"/>
    </xf>
    <xf numFmtId="0" fontId="18" fillId="4" borderId="0" xfId="0" applyFont="1" applyFill="1" applyAlignment="1">
      <alignment horizontal="center" vertical="center"/>
    </xf>
    <xf numFmtId="0" fontId="2" fillId="4" borderId="2" xfId="0" applyFont="1" applyFill="1" applyBorder="1" applyAlignment="1">
      <alignment horizontal="center"/>
    </xf>
    <xf numFmtId="0" fontId="6" fillId="4" borderId="0" xfId="0" applyFont="1" applyFill="1" applyAlignment="1">
      <alignment horizontal="center"/>
    </xf>
    <xf numFmtId="0" fontId="6" fillId="4" borderId="6" xfId="0" applyFont="1" applyFill="1" applyBorder="1" applyAlignment="1">
      <alignment horizontal="center"/>
    </xf>
    <xf numFmtId="0" fontId="7" fillId="4" borderId="2" xfId="0" applyFont="1" applyFill="1" applyBorder="1" applyAlignment="1">
      <alignment horizontal="center" vertical="center" wrapText="1"/>
    </xf>
    <xf numFmtId="0" fontId="6" fillId="4" borderId="2" xfId="0" applyFont="1" applyFill="1" applyBorder="1" applyAlignment="1">
      <alignment horizontal="center" wrapText="1"/>
    </xf>
    <xf numFmtId="0" fontId="5" fillId="5" borderId="2" xfId="0" applyFont="1" applyFill="1" applyBorder="1" applyAlignment="1">
      <alignment horizontal="left" vertical="center"/>
    </xf>
    <xf numFmtId="0" fontId="5" fillId="5" borderId="2" xfId="0" applyFont="1" applyFill="1" applyBorder="1" applyAlignment="1">
      <alignment horizontal="left" vertical="center" wrapText="1"/>
    </xf>
    <xf numFmtId="0" fontId="13" fillId="7" borderId="2" xfId="0" applyFont="1" applyFill="1" applyBorder="1" applyAlignment="1">
      <alignment horizontal="center"/>
    </xf>
    <xf numFmtId="0" fontId="0" fillId="0" borderId="21" xfId="0" applyBorder="1" applyAlignment="1">
      <alignment horizontal="right"/>
    </xf>
    <xf numFmtId="0" fontId="0" fillId="0" borderId="0" xfId="0" applyBorder="1" applyAlignment="1">
      <alignment horizontal="right"/>
    </xf>
    <xf numFmtId="0" fontId="9" fillId="11" borderId="26" xfId="0" applyFont="1" applyFill="1" applyBorder="1" applyAlignment="1">
      <alignment horizontal="center"/>
    </xf>
    <xf numFmtId="0" fontId="9" fillId="11" borderId="27" xfId="0" applyFont="1" applyFill="1" applyBorder="1" applyAlignment="1">
      <alignment horizontal="center"/>
    </xf>
    <xf numFmtId="0" fontId="9" fillId="11" borderId="28" xfId="0" applyFont="1" applyFill="1" applyBorder="1" applyAlignment="1">
      <alignment horizontal="center"/>
    </xf>
    <xf numFmtId="0" fontId="3" fillId="3" borderId="2" xfId="0" applyFont="1" applyFill="1" applyBorder="1" applyAlignment="1">
      <alignment horizontal="center" vertical="center"/>
    </xf>
    <xf numFmtId="0" fontId="9" fillId="0" borderId="2" xfId="0" applyFont="1" applyBorder="1"/>
    <xf numFmtId="0" fontId="9" fillId="6" borderId="15" xfId="0" applyFont="1" applyFill="1" applyBorder="1" applyAlignment="1">
      <alignment horizontal="center"/>
    </xf>
    <xf numFmtId="0" fontId="9" fillId="6" borderId="16" xfId="0" applyFont="1" applyFill="1" applyBorder="1" applyAlignment="1">
      <alignment horizontal="center"/>
    </xf>
    <xf numFmtId="0" fontId="9" fillId="6" borderId="14" xfId="0" applyFont="1" applyFill="1" applyBorder="1" applyAlignment="1">
      <alignment horizontal="center"/>
    </xf>
    <xf numFmtId="0" fontId="0" fillId="0" borderId="2" xfId="0" applyBorder="1"/>
    <xf numFmtId="0" fontId="0" fillId="0" borderId="3" xfId="0" applyBorder="1" applyAlignment="1">
      <alignment horizontal="center"/>
    </xf>
    <xf numFmtId="0" fontId="0" fillId="0" borderId="2" xfId="0" applyBorder="1" applyAlignment="1">
      <alignment horizontal="center"/>
    </xf>
  </cellXfs>
  <cellStyles count="3">
    <cellStyle name="Input" xfId="1" builtinId="20"/>
    <cellStyle name="Normal" xfId="0" builtinId="0"/>
    <cellStyle name="Percent" xfId="2" builtinId="5"/>
  </cellStyles>
  <dxfs count="26">
    <dxf>
      <numFmt numFmtId="181" formatCode="m/d/yyyy"/>
    </dxf>
    <dxf>
      <font>
        <color rgb="FF9C0006"/>
      </font>
      <fill>
        <patternFill>
          <bgColor rgb="FFFFC7CE"/>
        </patternFill>
      </fill>
    </dxf>
    <dxf>
      <numFmt numFmtId="180" formatCode=";;;"/>
      <fill>
        <patternFill patternType="none">
          <bgColor auto="1"/>
        </patternFill>
      </fill>
      <border>
        <left/>
        <right/>
        <bottom/>
        <vertical/>
        <horizontal/>
      </border>
    </dxf>
    <dxf>
      <font>
        <color theme="0"/>
      </font>
    </dxf>
    <dxf>
      <fill>
        <patternFill>
          <bgColor theme="0"/>
        </patternFill>
      </fill>
      <border>
        <left/>
        <right/>
        <bottom/>
        <vertical/>
        <horizontal/>
      </border>
    </dxf>
    <dxf>
      <font>
        <color theme="0"/>
      </font>
    </dxf>
    <dxf>
      <fill>
        <patternFill>
          <bgColor theme="0"/>
        </patternFill>
      </fill>
      <border>
        <left/>
        <right/>
        <bottom/>
        <vertical/>
        <horizontal/>
      </border>
    </dxf>
    <dxf>
      <font>
        <color theme="0"/>
      </font>
      <fill>
        <patternFill patternType="solid">
          <bgColor theme="0"/>
        </patternFill>
      </fill>
    </dxf>
    <dxf>
      <fill>
        <patternFill patternType="solid">
          <bgColor theme="0"/>
        </patternFill>
      </fill>
      <border>
        <left/>
        <right/>
        <bottom/>
        <vertical/>
        <horizontal/>
      </border>
    </dxf>
    <dxf>
      <border>
        <left/>
        <right/>
        <bottom/>
        <vertical/>
        <horizontal/>
      </border>
    </dxf>
    <dxf>
      <font>
        <color theme="0"/>
      </font>
    </dxf>
    <dxf>
      <fill>
        <patternFill>
          <bgColor theme="0"/>
        </patternFill>
      </fill>
      <border>
        <left/>
        <right/>
        <bottom/>
        <vertical/>
        <horizontal/>
      </border>
    </dxf>
    <dxf>
      <font>
        <color theme="0"/>
      </font>
    </dxf>
    <dxf>
      <fill>
        <patternFill>
          <bgColor theme="0"/>
        </patternFill>
      </fill>
      <border>
        <left/>
        <right/>
        <bottom/>
        <vertical/>
        <horizontal/>
      </border>
    </dxf>
    <dxf>
      <font>
        <color theme="0"/>
      </font>
      <fill>
        <patternFill patternType="solid">
          <bgColor theme="0"/>
        </patternFill>
      </fill>
    </dxf>
    <dxf>
      <fill>
        <patternFill patternType="solid">
          <bgColor theme="0"/>
        </patternFill>
      </fill>
      <border>
        <left/>
        <right/>
        <bottom/>
        <vertical/>
        <horizontal/>
      </border>
    </dxf>
    <dxf>
      <border>
        <left/>
        <right/>
        <bottom/>
        <vertical/>
        <horizontal/>
      </border>
    </dxf>
    <dxf>
      <font>
        <color theme="0"/>
      </font>
    </dxf>
    <dxf>
      <fill>
        <patternFill>
          <bgColor theme="0"/>
        </patternFill>
      </fill>
      <border>
        <left/>
        <right/>
        <bottom/>
        <vertical/>
        <horizontal/>
      </border>
    </dxf>
    <dxf>
      <numFmt numFmtId="180" formatCode=";;;"/>
      <fill>
        <patternFill>
          <bgColor theme="0"/>
        </patternFill>
      </fill>
      <border>
        <left/>
        <right/>
        <top/>
        <bottom/>
        <vertical/>
        <horizontal/>
      </border>
    </dxf>
    <dxf>
      <font>
        <color theme="0"/>
      </font>
      <fill>
        <patternFill patternType="solid">
          <bgColor theme="0"/>
        </patternFill>
      </fill>
    </dxf>
    <dxf>
      <fill>
        <patternFill patternType="solid">
          <bgColor theme="0"/>
        </patternFill>
      </fill>
      <border>
        <left/>
        <right/>
        <bottom/>
        <vertical/>
        <horizontal/>
      </border>
    </dxf>
    <dxf>
      <border>
        <left/>
        <right/>
        <bottom/>
        <vertical/>
        <horizontal/>
      </border>
    </dxf>
    <dxf>
      <font>
        <color rgb="FF9C0006"/>
      </font>
      <fill>
        <patternFill>
          <bgColor rgb="FFFFC7CE"/>
        </patternFill>
      </fill>
    </dxf>
    <dxf>
      <border>
        <left/>
        <right/>
        <bottom/>
        <vertical/>
        <horizontal/>
      </border>
    </dxf>
    <dxf>
      <border>
        <left/>
        <right/>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externalLink" Target="externalLinks/externalLink2.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Model!$BE$4</c:f>
          <c:strCache>
            <c:ptCount val="1"/>
            <c:pt idx="0">
              <c:v>Treasury Yield Curve 04/16/2021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Treasury</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Model!$BI$3:$BT$3</c:f>
              <c:numCache>
                <c:formatCode>0.000</c:formatCode>
                <c:ptCount val="12"/>
                <c:pt idx="0">
                  <c:v>8.3333333333333329E-2</c:v>
                </c:pt>
                <c:pt idx="1">
                  <c:v>0.16666666666666666</c:v>
                </c:pt>
                <c:pt idx="2" formatCode="General">
                  <c:v>0.25</c:v>
                </c:pt>
                <c:pt idx="3" formatCode="General">
                  <c:v>0.5</c:v>
                </c:pt>
                <c:pt idx="4" formatCode="General">
                  <c:v>1</c:v>
                </c:pt>
                <c:pt idx="5" formatCode="General">
                  <c:v>2</c:v>
                </c:pt>
                <c:pt idx="6" formatCode="General">
                  <c:v>3</c:v>
                </c:pt>
                <c:pt idx="7" formatCode="General">
                  <c:v>5</c:v>
                </c:pt>
                <c:pt idx="8" formatCode="General">
                  <c:v>7</c:v>
                </c:pt>
                <c:pt idx="9" formatCode="General">
                  <c:v>10</c:v>
                </c:pt>
                <c:pt idx="10" formatCode="General">
                  <c:v>20</c:v>
                </c:pt>
                <c:pt idx="11" formatCode="General">
                  <c:v>30</c:v>
                </c:pt>
              </c:numCache>
            </c:numRef>
          </c:xVal>
          <c:yVal>
            <c:numRef>
              <c:f>Model!$BI$4:$BT$4</c:f>
              <c:numCache>
                <c:formatCode>0.00%</c:formatCode>
                <c:ptCount val="12"/>
                <c:pt idx="0">
                  <c:v>2.0000000000000001E-4</c:v>
                </c:pt>
                <c:pt idx="1">
                  <c:v>2.0000000000000001E-4</c:v>
                </c:pt>
                <c:pt idx="2">
                  <c:v>2.0000000000000001E-4</c:v>
                </c:pt>
                <c:pt idx="3">
                  <c:v>4.0000000000000002E-4</c:v>
                </c:pt>
                <c:pt idx="4">
                  <c:v>5.9999999999999995E-4</c:v>
                </c:pt>
                <c:pt idx="5">
                  <c:v>1.6000000000000001E-3</c:v>
                </c:pt>
                <c:pt idx="6">
                  <c:v>3.4000000000000002E-3</c:v>
                </c:pt>
                <c:pt idx="7">
                  <c:v>8.3999999999999995E-3</c:v>
                </c:pt>
                <c:pt idx="8">
                  <c:v>1.26E-2</c:v>
                </c:pt>
                <c:pt idx="9">
                  <c:v>1.5900000000000001E-2</c:v>
                </c:pt>
                <c:pt idx="10">
                  <c:v>2.1499999999999998E-2</c:v>
                </c:pt>
                <c:pt idx="11">
                  <c:v>2.2599999999999999E-2</c:v>
                </c:pt>
              </c:numCache>
            </c:numRef>
          </c:yVal>
          <c:smooth val="1"/>
          <c:extLst>
            <c:ext xmlns:c16="http://schemas.microsoft.com/office/drawing/2014/chart" uri="{C3380CC4-5D6E-409C-BE32-E72D297353CC}">
              <c16:uniqueId val="{00000000-F15E-4068-89A6-B82A47ECE09E}"/>
            </c:ext>
          </c:extLst>
        </c:ser>
        <c:ser>
          <c:idx val="1"/>
          <c:order val="1"/>
          <c:tx>
            <c:strRef>
              <c:f>Model!$BC$4</c:f>
              <c:strCache>
                <c:ptCount val="1"/>
                <c:pt idx="0">
                  <c:v>Corp/AA</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Model!$BI$3:$BT$3</c:f>
              <c:numCache>
                <c:formatCode>0.000</c:formatCode>
                <c:ptCount val="12"/>
                <c:pt idx="0">
                  <c:v>8.3333333333333329E-2</c:v>
                </c:pt>
                <c:pt idx="1">
                  <c:v>0.16666666666666666</c:v>
                </c:pt>
                <c:pt idx="2" formatCode="General">
                  <c:v>0.25</c:v>
                </c:pt>
                <c:pt idx="3" formatCode="General">
                  <c:v>0.5</c:v>
                </c:pt>
                <c:pt idx="4" formatCode="General">
                  <c:v>1</c:v>
                </c:pt>
                <c:pt idx="5" formatCode="General">
                  <c:v>2</c:v>
                </c:pt>
                <c:pt idx="6" formatCode="General">
                  <c:v>3</c:v>
                </c:pt>
                <c:pt idx="7" formatCode="General">
                  <c:v>5</c:v>
                </c:pt>
                <c:pt idx="8" formatCode="General">
                  <c:v>7</c:v>
                </c:pt>
                <c:pt idx="9" formatCode="General">
                  <c:v>10</c:v>
                </c:pt>
                <c:pt idx="10" formatCode="General">
                  <c:v>20</c:v>
                </c:pt>
                <c:pt idx="11" formatCode="General">
                  <c:v>30</c:v>
                </c:pt>
              </c:numCache>
            </c:numRef>
          </c:xVal>
          <c:yVal>
            <c:numRef>
              <c:f>Model!$BI$5:$BT$5</c:f>
              <c:numCache>
                <c:formatCode>0.00%</c:formatCode>
                <c:ptCount val="12"/>
                <c:pt idx="0">
                  <c:v>6.7999999999999979E-3</c:v>
                </c:pt>
                <c:pt idx="1">
                  <c:v>6.7999999999999979E-3</c:v>
                </c:pt>
                <c:pt idx="2">
                  <c:v>6.7999999999999979E-3</c:v>
                </c:pt>
                <c:pt idx="3">
                  <c:v>6.9999999999999984E-3</c:v>
                </c:pt>
                <c:pt idx="4">
                  <c:v>7.1999999999999981E-3</c:v>
                </c:pt>
                <c:pt idx="5">
                  <c:v>8.199999999999999E-3</c:v>
                </c:pt>
                <c:pt idx="6">
                  <c:v>9.9999999999999985E-3</c:v>
                </c:pt>
                <c:pt idx="7">
                  <c:v>1.4999999999999998E-2</c:v>
                </c:pt>
                <c:pt idx="8">
                  <c:v>1.9199999999999998E-2</c:v>
                </c:pt>
                <c:pt idx="9">
                  <c:v>2.2499999999999999E-2</c:v>
                </c:pt>
                <c:pt idx="10">
                  <c:v>2.8099999999999997E-2</c:v>
                </c:pt>
                <c:pt idx="11">
                  <c:v>2.9199999999999997E-2</c:v>
                </c:pt>
              </c:numCache>
            </c:numRef>
          </c:yVal>
          <c:smooth val="1"/>
          <c:extLst>
            <c:ext xmlns:c16="http://schemas.microsoft.com/office/drawing/2014/chart" uri="{C3380CC4-5D6E-409C-BE32-E72D297353CC}">
              <c16:uniqueId val="{00000002-F15E-4068-89A6-B82A47ECE09E}"/>
            </c:ext>
          </c:extLst>
        </c:ser>
        <c:dLbls>
          <c:showLegendKey val="0"/>
          <c:showVal val="0"/>
          <c:showCatName val="0"/>
          <c:showSerName val="0"/>
          <c:showPercent val="0"/>
          <c:showBubbleSize val="0"/>
        </c:dLbls>
        <c:axId val="643103424"/>
        <c:axId val="1401859328"/>
      </c:scatterChart>
      <c:valAx>
        <c:axId val="643103424"/>
        <c:scaling>
          <c:orientation val="minMax"/>
        </c:scaling>
        <c:delete val="0"/>
        <c:axPos val="b"/>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1859328"/>
        <c:crosses val="autoZero"/>
        <c:crossBetween val="midCat"/>
      </c:valAx>
      <c:valAx>
        <c:axId val="1401859328"/>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1034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Model!$BE$6</c:f>
          <c:strCache>
            <c:ptCount val="1"/>
            <c:pt idx="0">
              <c:v>Treasury Yield Curve for Corp/AA on Purchase Date</c:v>
            </c:pt>
          </c:strCache>
        </c:strRef>
      </c:tx>
      <c:layout>
        <c:manualLayout>
          <c:xMode val="edge"/>
          <c:yMode val="edge"/>
          <c:x val="0.132472222222222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Model!$BH$6</c:f>
              <c:strCache>
                <c:ptCount val="1"/>
                <c:pt idx="0">
                  <c:v>3/10/2014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Model!$BI$3:$BT$3</c:f>
              <c:numCache>
                <c:formatCode>0.000</c:formatCode>
                <c:ptCount val="12"/>
                <c:pt idx="0">
                  <c:v>8.3333333333333329E-2</c:v>
                </c:pt>
                <c:pt idx="1">
                  <c:v>0.16666666666666666</c:v>
                </c:pt>
                <c:pt idx="2" formatCode="General">
                  <c:v>0.25</c:v>
                </c:pt>
                <c:pt idx="3" formatCode="General">
                  <c:v>0.5</c:v>
                </c:pt>
                <c:pt idx="4" formatCode="General">
                  <c:v>1</c:v>
                </c:pt>
                <c:pt idx="5" formatCode="General">
                  <c:v>2</c:v>
                </c:pt>
                <c:pt idx="6" formatCode="General">
                  <c:v>3</c:v>
                </c:pt>
                <c:pt idx="7" formatCode="General">
                  <c:v>5</c:v>
                </c:pt>
                <c:pt idx="8" formatCode="General">
                  <c:v>7</c:v>
                </c:pt>
                <c:pt idx="9" formatCode="General">
                  <c:v>10</c:v>
                </c:pt>
                <c:pt idx="10" formatCode="General">
                  <c:v>20</c:v>
                </c:pt>
                <c:pt idx="11" formatCode="General">
                  <c:v>30</c:v>
                </c:pt>
              </c:numCache>
            </c:numRef>
          </c:xVal>
          <c:yVal>
            <c:numRef>
              <c:f>Model!$BI$6:$BT$6</c:f>
              <c:numCache>
                <c:formatCode>0.00%</c:formatCode>
                <c:ptCount val="12"/>
                <c:pt idx="0">
                  <c:v>8.7999999999999988E-3</c:v>
                </c:pt>
                <c:pt idx="1">
                  <c:v>8.7999999999999988E-3</c:v>
                </c:pt>
                <c:pt idx="2">
                  <c:v>8.7999999999999988E-3</c:v>
                </c:pt>
                <c:pt idx="3">
                  <c:v>8.9999999999999976E-3</c:v>
                </c:pt>
                <c:pt idx="4">
                  <c:v>9.1999999999999981E-3</c:v>
                </c:pt>
                <c:pt idx="5">
                  <c:v>1.0199999999999999E-2</c:v>
                </c:pt>
                <c:pt idx="6">
                  <c:v>1.1999999999999999E-2</c:v>
                </c:pt>
                <c:pt idx="7">
                  <c:v>1.6999999999999998E-2</c:v>
                </c:pt>
                <c:pt idx="8">
                  <c:v>2.1199999999999997E-2</c:v>
                </c:pt>
                <c:pt idx="9">
                  <c:v>2.4500000000000001E-2</c:v>
                </c:pt>
                <c:pt idx="10">
                  <c:v>3.0099999999999995E-2</c:v>
                </c:pt>
                <c:pt idx="11">
                  <c:v>3.1199999999999999E-2</c:v>
                </c:pt>
              </c:numCache>
            </c:numRef>
          </c:yVal>
          <c:smooth val="1"/>
          <c:extLst>
            <c:ext xmlns:c16="http://schemas.microsoft.com/office/drawing/2014/chart" uri="{C3380CC4-5D6E-409C-BE32-E72D297353CC}">
              <c16:uniqueId val="{00000000-6DB7-4952-ABBD-1AEA0D657DAA}"/>
            </c:ext>
          </c:extLst>
        </c:ser>
        <c:ser>
          <c:idx val="1"/>
          <c:order val="1"/>
          <c:tx>
            <c:strRef>
              <c:f>Model!$BH$5</c:f>
              <c:strCache>
                <c:ptCount val="1"/>
                <c:pt idx="0">
                  <c:v>4/16/21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Model!$BI$3:$BT$3</c:f>
              <c:numCache>
                <c:formatCode>0.000</c:formatCode>
                <c:ptCount val="12"/>
                <c:pt idx="0">
                  <c:v>8.3333333333333329E-2</c:v>
                </c:pt>
                <c:pt idx="1">
                  <c:v>0.16666666666666666</c:v>
                </c:pt>
                <c:pt idx="2" formatCode="General">
                  <c:v>0.25</c:v>
                </c:pt>
                <c:pt idx="3" formatCode="General">
                  <c:v>0.5</c:v>
                </c:pt>
                <c:pt idx="4" formatCode="General">
                  <c:v>1</c:v>
                </c:pt>
                <c:pt idx="5" formatCode="General">
                  <c:v>2</c:v>
                </c:pt>
                <c:pt idx="6" formatCode="General">
                  <c:v>3</c:v>
                </c:pt>
                <c:pt idx="7" formatCode="General">
                  <c:v>5</c:v>
                </c:pt>
                <c:pt idx="8" formatCode="General">
                  <c:v>7</c:v>
                </c:pt>
                <c:pt idx="9" formatCode="General">
                  <c:v>10</c:v>
                </c:pt>
                <c:pt idx="10" formatCode="General">
                  <c:v>20</c:v>
                </c:pt>
                <c:pt idx="11" formatCode="General">
                  <c:v>30</c:v>
                </c:pt>
              </c:numCache>
            </c:numRef>
          </c:xVal>
          <c:yVal>
            <c:numRef>
              <c:f>Model!$BI$5:$BT$5</c:f>
              <c:numCache>
                <c:formatCode>0.00%</c:formatCode>
                <c:ptCount val="12"/>
                <c:pt idx="0">
                  <c:v>6.7999999999999979E-3</c:v>
                </c:pt>
                <c:pt idx="1">
                  <c:v>6.7999999999999979E-3</c:v>
                </c:pt>
                <c:pt idx="2">
                  <c:v>6.7999999999999979E-3</c:v>
                </c:pt>
                <c:pt idx="3">
                  <c:v>6.9999999999999984E-3</c:v>
                </c:pt>
                <c:pt idx="4">
                  <c:v>7.1999999999999981E-3</c:v>
                </c:pt>
                <c:pt idx="5">
                  <c:v>8.199999999999999E-3</c:v>
                </c:pt>
                <c:pt idx="6">
                  <c:v>9.9999999999999985E-3</c:v>
                </c:pt>
                <c:pt idx="7">
                  <c:v>1.4999999999999998E-2</c:v>
                </c:pt>
                <c:pt idx="8">
                  <c:v>1.9199999999999998E-2</c:v>
                </c:pt>
                <c:pt idx="9">
                  <c:v>2.2499999999999999E-2</c:v>
                </c:pt>
                <c:pt idx="10">
                  <c:v>2.8099999999999997E-2</c:v>
                </c:pt>
                <c:pt idx="11">
                  <c:v>2.9199999999999997E-2</c:v>
                </c:pt>
              </c:numCache>
            </c:numRef>
          </c:yVal>
          <c:smooth val="1"/>
          <c:extLst>
            <c:ext xmlns:c16="http://schemas.microsoft.com/office/drawing/2014/chart" uri="{C3380CC4-5D6E-409C-BE32-E72D297353CC}">
              <c16:uniqueId val="{00000002-6DB7-4952-ABBD-1AEA0D657DAA}"/>
            </c:ext>
          </c:extLst>
        </c:ser>
        <c:ser>
          <c:idx val="2"/>
          <c:order val="2"/>
          <c:tx>
            <c:strRef>
              <c:f>Model!$BH$13</c:f>
              <c:strCache>
                <c:ptCount val="1"/>
                <c:pt idx="0">
                  <c:v>OCC (%)</c:v>
                </c:pt>
              </c:strCache>
            </c:strRef>
          </c:tx>
          <c:spPr>
            <a:ln w="19050" cap="rnd">
              <a:solidFill>
                <a:schemeClr val="accent4"/>
              </a:solidFill>
              <a:prstDash val="dashDot"/>
              <a:round/>
            </a:ln>
            <a:effectLst/>
          </c:spPr>
          <c:marker>
            <c:symbol val="circle"/>
            <c:size val="5"/>
            <c:spPr>
              <a:solidFill>
                <a:schemeClr val="accent3"/>
              </a:solidFill>
              <a:ln w="9525">
                <a:noFill/>
                <a:prstDash val="dashDot"/>
              </a:ln>
              <a:effectLst/>
            </c:spPr>
          </c:marker>
          <c:xVal>
            <c:numRef>
              <c:f>Model!$BI$12:$BI$14</c:f>
              <c:numCache>
                <c:formatCode>0.000</c:formatCode>
                <c:ptCount val="3"/>
                <c:pt idx="0" formatCode="General">
                  <c:v>0</c:v>
                </c:pt>
                <c:pt idx="1">
                  <c:v>18.808333333333334</c:v>
                </c:pt>
                <c:pt idx="2">
                  <c:v>18.808333333333334</c:v>
                </c:pt>
              </c:numCache>
            </c:numRef>
          </c:xVal>
          <c:yVal>
            <c:numRef>
              <c:f>Model!$BJ$12:$BJ$14</c:f>
              <c:numCache>
                <c:formatCode>0.00%</c:formatCode>
                <c:ptCount val="3"/>
                <c:pt idx="0">
                  <c:v>3.0228412424238082E-2</c:v>
                </c:pt>
                <c:pt idx="1">
                  <c:v>3.0228412424238082E-2</c:v>
                </c:pt>
                <c:pt idx="2">
                  <c:v>0</c:v>
                </c:pt>
              </c:numCache>
            </c:numRef>
          </c:yVal>
          <c:smooth val="0"/>
          <c:extLst>
            <c:ext xmlns:c16="http://schemas.microsoft.com/office/drawing/2014/chart" uri="{C3380CC4-5D6E-409C-BE32-E72D297353CC}">
              <c16:uniqueId val="{00000004-6DB7-4952-ABBD-1AEA0D657DAA}"/>
            </c:ext>
          </c:extLst>
        </c:ser>
        <c:dLbls>
          <c:showLegendKey val="0"/>
          <c:showVal val="0"/>
          <c:showCatName val="0"/>
          <c:showSerName val="0"/>
          <c:showPercent val="0"/>
          <c:showBubbleSize val="0"/>
        </c:dLbls>
        <c:axId val="1398270336"/>
        <c:axId val="1398275744"/>
      </c:scatterChart>
      <c:valAx>
        <c:axId val="1398270336"/>
        <c:scaling>
          <c:orientation val="minMax"/>
        </c:scaling>
        <c:delete val="0"/>
        <c:axPos val="b"/>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275744"/>
        <c:crosses val="autoZero"/>
        <c:crossBetween val="midCat"/>
      </c:valAx>
      <c:valAx>
        <c:axId val="1398275744"/>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27033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Model!$BE$7</c:f>
          <c:strCache>
            <c:ptCount val="1"/>
            <c:pt idx="0">
              <c:v>Treasury Yield Curve for Corp/AA on Sale Date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Model!$BH$7</c:f>
              <c:strCache>
                <c:ptCount val="1"/>
                <c:pt idx="0">
                  <c:v>3/20/2016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Model!$BI$3:$BT$3</c:f>
              <c:numCache>
                <c:formatCode>0.000</c:formatCode>
                <c:ptCount val="12"/>
                <c:pt idx="0">
                  <c:v>8.3333333333333329E-2</c:v>
                </c:pt>
                <c:pt idx="1">
                  <c:v>0.16666666666666666</c:v>
                </c:pt>
                <c:pt idx="2" formatCode="General">
                  <c:v>0.25</c:v>
                </c:pt>
                <c:pt idx="3" formatCode="General">
                  <c:v>0.5</c:v>
                </c:pt>
                <c:pt idx="4" formatCode="General">
                  <c:v>1</c:v>
                </c:pt>
                <c:pt idx="5" formatCode="General">
                  <c:v>2</c:v>
                </c:pt>
                <c:pt idx="6" formatCode="General">
                  <c:v>3</c:v>
                </c:pt>
                <c:pt idx="7" formatCode="General">
                  <c:v>5</c:v>
                </c:pt>
                <c:pt idx="8" formatCode="General">
                  <c:v>7</c:v>
                </c:pt>
                <c:pt idx="9" formatCode="General">
                  <c:v>10</c:v>
                </c:pt>
                <c:pt idx="10" formatCode="General">
                  <c:v>20</c:v>
                </c:pt>
                <c:pt idx="11" formatCode="General">
                  <c:v>30</c:v>
                </c:pt>
              </c:numCache>
            </c:numRef>
          </c:xVal>
          <c:yVal>
            <c:numRef>
              <c:f>Model!$BI$7:$BT$7</c:f>
              <c:numCache>
                <c:formatCode>0.00%</c:formatCode>
                <c:ptCount val="12"/>
                <c:pt idx="0">
                  <c:v>1.8799999999999997E-2</c:v>
                </c:pt>
                <c:pt idx="1">
                  <c:v>1.8799999999999997E-2</c:v>
                </c:pt>
                <c:pt idx="2">
                  <c:v>1.8799999999999997E-2</c:v>
                </c:pt>
                <c:pt idx="3">
                  <c:v>1.9E-2</c:v>
                </c:pt>
                <c:pt idx="4">
                  <c:v>1.9199999999999998E-2</c:v>
                </c:pt>
                <c:pt idx="5">
                  <c:v>2.0199999999999999E-2</c:v>
                </c:pt>
                <c:pt idx="6">
                  <c:v>2.1999999999999999E-2</c:v>
                </c:pt>
                <c:pt idx="7">
                  <c:v>2.6999999999999996E-2</c:v>
                </c:pt>
                <c:pt idx="8">
                  <c:v>3.1199999999999999E-2</c:v>
                </c:pt>
                <c:pt idx="9">
                  <c:v>3.4500000000000003E-2</c:v>
                </c:pt>
                <c:pt idx="10">
                  <c:v>4.0099999999999997E-2</c:v>
                </c:pt>
                <c:pt idx="11">
                  <c:v>4.1200000000000001E-2</c:v>
                </c:pt>
              </c:numCache>
            </c:numRef>
          </c:yVal>
          <c:smooth val="1"/>
          <c:extLst>
            <c:ext xmlns:c16="http://schemas.microsoft.com/office/drawing/2014/chart" uri="{C3380CC4-5D6E-409C-BE32-E72D297353CC}">
              <c16:uniqueId val="{00000000-26B8-415C-872D-E2F9435FE713}"/>
            </c:ext>
          </c:extLst>
        </c:ser>
        <c:ser>
          <c:idx val="1"/>
          <c:order val="1"/>
          <c:tx>
            <c:strRef>
              <c:f>Model!$BH$5</c:f>
              <c:strCache>
                <c:ptCount val="1"/>
                <c:pt idx="0">
                  <c:v>4/16/21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Model!$BI$3:$BT$3</c:f>
              <c:numCache>
                <c:formatCode>0.000</c:formatCode>
                <c:ptCount val="12"/>
                <c:pt idx="0">
                  <c:v>8.3333333333333329E-2</c:v>
                </c:pt>
                <c:pt idx="1">
                  <c:v>0.16666666666666666</c:v>
                </c:pt>
                <c:pt idx="2" formatCode="General">
                  <c:v>0.25</c:v>
                </c:pt>
                <c:pt idx="3" formatCode="General">
                  <c:v>0.5</c:v>
                </c:pt>
                <c:pt idx="4" formatCode="General">
                  <c:v>1</c:v>
                </c:pt>
                <c:pt idx="5" formatCode="General">
                  <c:v>2</c:v>
                </c:pt>
                <c:pt idx="6" formatCode="General">
                  <c:v>3</c:v>
                </c:pt>
                <c:pt idx="7" formatCode="General">
                  <c:v>5</c:v>
                </c:pt>
                <c:pt idx="8" formatCode="General">
                  <c:v>7</c:v>
                </c:pt>
                <c:pt idx="9" formatCode="General">
                  <c:v>10</c:v>
                </c:pt>
                <c:pt idx="10" formatCode="General">
                  <c:v>20</c:v>
                </c:pt>
                <c:pt idx="11" formatCode="General">
                  <c:v>30</c:v>
                </c:pt>
              </c:numCache>
            </c:numRef>
          </c:xVal>
          <c:yVal>
            <c:numRef>
              <c:f>Model!$BI$5:$BT$5</c:f>
              <c:numCache>
                <c:formatCode>0.00%</c:formatCode>
                <c:ptCount val="12"/>
                <c:pt idx="0">
                  <c:v>6.7999999999999979E-3</c:v>
                </c:pt>
                <c:pt idx="1">
                  <c:v>6.7999999999999979E-3</c:v>
                </c:pt>
                <c:pt idx="2">
                  <c:v>6.7999999999999979E-3</c:v>
                </c:pt>
                <c:pt idx="3">
                  <c:v>6.9999999999999984E-3</c:v>
                </c:pt>
                <c:pt idx="4">
                  <c:v>7.1999999999999981E-3</c:v>
                </c:pt>
                <c:pt idx="5">
                  <c:v>8.199999999999999E-3</c:v>
                </c:pt>
                <c:pt idx="6">
                  <c:v>9.9999999999999985E-3</c:v>
                </c:pt>
                <c:pt idx="7">
                  <c:v>1.4999999999999998E-2</c:v>
                </c:pt>
                <c:pt idx="8">
                  <c:v>1.9199999999999998E-2</c:v>
                </c:pt>
                <c:pt idx="9">
                  <c:v>2.2499999999999999E-2</c:v>
                </c:pt>
                <c:pt idx="10">
                  <c:v>2.8099999999999997E-2</c:v>
                </c:pt>
                <c:pt idx="11">
                  <c:v>2.9199999999999997E-2</c:v>
                </c:pt>
              </c:numCache>
            </c:numRef>
          </c:yVal>
          <c:smooth val="1"/>
          <c:extLst>
            <c:ext xmlns:c16="http://schemas.microsoft.com/office/drawing/2014/chart" uri="{C3380CC4-5D6E-409C-BE32-E72D297353CC}">
              <c16:uniqueId val="{00000002-26B8-415C-872D-E2F9435FE713}"/>
            </c:ext>
          </c:extLst>
        </c:ser>
        <c:ser>
          <c:idx val="2"/>
          <c:order val="2"/>
          <c:tx>
            <c:strRef>
              <c:f>Model!$BH$18</c:f>
              <c:strCache>
                <c:ptCount val="1"/>
                <c:pt idx="0">
                  <c:v>OCC (%)</c:v>
                </c:pt>
              </c:strCache>
            </c:strRef>
          </c:tx>
          <c:spPr>
            <a:ln w="19050" cap="rnd">
              <a:solidFill>
                <a:schemeClr val="accent4"/>
              </a:solidFill>
              <a:prstDash val="dashDot"/>
              <a:round/>
            </a:ln>
            <a:effectLst/>
          </c:spPr>
          <c:marker>
            <c:symbol val="circle"/>
            <c:size val="5"/>
            <c:spPr>
              <a:solidFill>
                <a:schemeClr val="accent3"/>
              </a:solidFill>
              <a:ln w="9525">
                <a:solidFill>
                  <a:schemeClr val="accent3"/>
                </a:solidFill>
              </a:ln>
              <a:effectLst/>
            </c:spPr>
          </c:marker>
          <c:xVal>
            <c:numRef>
              <c:f>Model!$BI$17:$BI$19</c:f>
              <c:numCache>
                <c:formatCode>0.000</c:formatCode>
                <c:ptCount val="3"/>
                <c:pt idx="0" formatCode="General">
                  <c:v>0</c:v>
                </c:pt>
                <c:pt idx="1">
                  <c:v>16.780555555555555</c:v>
                </c:pt>
                <c:pt idx="2">
                  <c:v>16.780555555555555</c:v>
                </c:pt>
              </c:numCache>
            </c:numRef>
          </c:xVal>
          <c:yVal>
            <c:numRef>
              <c:f>Model!$BJ$17:$BJ$19</c:f>
              <c:numCache>
                <c:formatCode>0.00%</c:formatCode>
                <c:ptCount val="3"/>
                <c:pt idx="0">
                  <c:v>3.9267943451253312E-2</c:v>
                </c:pt>
                <c:pt idx="1">
                  <c:v>3.9267943451253312E-2</c:v>
                </c:pt>
                <c:pt idx="2">
                  <c:v>0</c:v>
                </c:pt>
              </c:numCache>
            </c:numRef>
          </c:yVal>
          <c:smooth val="0"/>
          <c:extLst>
            <c:ext xmlns:c16="http://schemas.microsoft.com/office/drawing/2014/chart" uri="{C3380CC4-5D6E-409C-BE32-E72D297353CC}">
              <c16:uniqueId val="{00000003-26B8-415C-872D-E2F9435FE713}"/>
            </c:ext>
          </c:extLst>
        </c:ser>
        <c:dLbls>
          <c:showLegendKey val="0"/>
          <c:showVal val="0"/>
          <c:showCatName val="0"/>
          <c:showSerName val="0"/>
          <c:showPercent val="0"/>
          <c:showBubbleSize val="0"/>
        </c:dLbls>
        <c:axId val="734703536"/>
        <c:axId val="734706032"/>
      </c:scatterChart>
      <c:valAx>
        <c:axId val="734703536"/>
        <c:scaling>
          <c:orientation val="minMax"/>
        </c:scaling>
        <c:delete val="0"/>
        <c:axPos val="b"/>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06032"/>
        <c:crosses val="autoZero"/>
        <c:crossBetween val="midCat"/>
      </c:valAx>
      <c:valAx>
        <c:axId val="734706032"/>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0353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Trajectory</a:t>
            </a:r>
            <a:r>
              <a:rPr lang="en-US" altLang="zh-CN" baseline="0"/>
              <a:t> of Ex-Coupon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Model!$AI$4</c:f>
              <c:strCache>
                <c:ptCount val="1"/>
                <c:pt idx="0">
                  <c:v>P</c:v>
                </c:pt>
              </c:strCache>
            </c:strRef>
          </c:tx>
          <c:spPr>
            <a:ln w="28575" cap="rnd">
              <a:solidFill>
                <a:schemeClr val="accent1"/>
              </a:solidFill>
              <a:round/>
            </a:ln>
            <a:effectLst/>
          </c:spPr>
          <c:marker>
            <c:symbol val="none"/>
          </c:marker>
          <c:cat>
            <c:numRef>
              <c:f>[0]!CR</c:f>
              <c:numCache>
                <c:formatCode>General</c:formatCode>
                <c:ptCount val="38"/>
                <c:pt idx="0">
                  <c:v>38</c:v>
                </c:pt>
                <c:pt idx="1">
                  <c:v>37</c:v>
                </c:pt>
                <c:pt idx="2">
                  <c:v>36</c:v>
                </c:pt>
                <c:pt idx="3">
                  <c:v>35</c:v>
                </c:pt>
                <c:pt idx="4">
                  <c:v>34</c:v>
                </c:pt>
                <c:pt idx="5">
                  <c:v>33</c:v>
                </c:pt>
                <c:pt idx="6">
                  <c:v>32</c:v>
                </c:pt>
                <c:pt idx="7">
                  <c:v>31</c:v>
                </c:pt>
                <c:pt idx="8">
                  <c:v>30</c:v>
                </c:pt>
                <c:pt idx="9">
                  <c:v>29</c:v>
                </c:pt>
                <c:pt idx="10">
                  <c:v>28</c:v>
                </c:pt>
                <c:pt idx="11">
                  <c:v>27</c:v>
                </c:pt>
                <c:pt idx="12">
                  <c:v>26</c:v>
                </c:pt>
                <c:pt idx="13">
                  <c:v>25</c:v>
                </c:pt>
                <c:pt idx="14">
                  <c:v>24</c:v>
                </c:pt>
                <c:pt idx="15">
                  <c:v>23</c:v>
                </c:pt>
                <c:pt idx="16">
                  <c:v>22</c:v>
                </c:pt>
                <c:pt idx="17">
                  <c:v>21</c:v>
                </c:pt>
                <c:pt idx="18">
                  <c:v>20</c:v>
                </c:pt>
                <c:pt idx="19">
                  <c:v>19</c:v>
                </c:pt>
                <c:pt idx="20">
                  <c:v>18</c:v>
                </c:pt>
                <c:pt idx="21">
                  <c:v>17</c:v>
                </c:pt>
                <c:pt idx="22">
                  <c:v>16</c:v>
                </c:pt>
                <c:pt idx="23">
                  <c:v>15</c:v>
                </c:pt>
                <c:pt idx="24">
                  <c:v>14</c:v>
                </c:pt>
                <c:pt idx="25">
                  <c:v>13</c:v>
                </c:pt>
                <c:pt idx="26">
                  <c:v>12</c:v>
                </c:pt>
                <c:pt idx="27">
                  <c:v>11</c:v>
                </c:pt>
                <c:pt idx="28">
                  <c:v>10</c:v>
                </c:pt>
                <c:pt idx="29">
                  <c:v>9</c:v>
                </c:pt>
                <c:pt idx="30">
                  <c:v>8</c:v>
                </c:pt>
                <c:pt idx="31">
                  <c:v>7</c:v>
                </c:pt>
                <c:pt idx="32">
                  <c:v>6</c:v>
                </c:pt>
                <c:pt idx="33">
                  <c:v>5</c:v>
                </c:pt>
                <c:pt idx="34">
                  <c:v>4</c:v>
                </c:pt>
                <c:pt idx="35">
                  <c:v>3</c:v>
                </c:pt>
                <c:pt idx="36">
                  <c:v>2</c:v>
                </c:pt>
                <c:pt idx="37">
                  <c:v>1</c:v>
                </c:pt>
              </c:numCache>
            </c:numRef>
          </c:cat>
          <c:val>
            <c:numRef>
              <c:f>[0]!exCP</c:f>
              <c:numCache>
                <c:formatCode>\$#,##0.00;[Red]\-\$#,##0.00</c:formatCode>
                <c:ptCount val="38"/>
                <c:pt idx="0">
                  <c:v>1084.3209029386546</c:v>
                </c:pt>
                <c:pt idx="1">
                  <c:v>1083.2474923618156</c:v>
                </c:pt>
                <c:pt idx="2">
                  <c:v>1082.1355468709176</c:v>
                </c:pt>
                <c:pt idx="3">
                  <c:v>1080.9836830814168</c:v>
                </c:pt>
                <c:pt idx="4">
                  <c:v>1079.7904679459405</c:v>
                </c:pt>
                <c:pt idx="5">
                  <c:v>1078.554416971419</c:v>
                </c:pt>
                <c:pt idx="6">
                  <c:v>1077.2739923722065</c:v>
                </c:pt>
                <c:pt idx="7">
                  <c:v>1075.9476011569068</c:v>
                </c:pt>
                <c:pt idx="8">
                  <c:v>1074.5735931465119</c:v>
                </c:pt>
                <c:pt idx="9">
                  <c:v>1073.1502589213962</c:v>
                </c:pt>
                <c:pt idx="10">
                  <c:v>1071.6758276946061</c:v>
                </c:pt>
                <c:pt idx="11">
                  <c:v>1070.1484651088037</c:v>
                </c:pt>
                <c:pt idx="12">
                  <c:v>1068.5662709541211</c:v>
                </c:pt>
                <c:pt idx="13">
                  <c:v>1066.9272768040864</c:v>
                </c:pt>
                <c:pt idx="14">
                  <c:v>1065.2294435666813</c:v>
                </c:pt>
                <c:pt idx="15">
                  <c:v>1063.4706589474831</c:v>
                </c:pt>
                <c:pt idx="16">
                  <c:v>1061.6487348217333</c:v>
                </c:pt>
                <c:pt idx="17">
                  <c:v>1059.7614045120658</c:v>
                </c:pt>
                <c:pt idx="18">
                  <c:v>1057.8063199685075</c:v>
                </c:pt>
                <c:pt idx="19">
                  <c:v>1055.7810488472412</c:v>
                </c:pt>
                <c:pt idx="20">
                  <c:v>1053.6830714844973</c:v>
                </c:pt>
                <c:pt idx="21">
                  <c:v>1051.5097777618112</c:v>
                </c:pt>
                <c:pt idx="22">
                  <c:v>1049.2584638587434</c:v>
                </c:pt>
                <c:pt idx="23">
                  <c:v>1046.9263288890249</c:v>
                </c:pt>
                <c:pt idx="24">
                  <c:v>1044.5104714159406</c:v>
                </c:pt>
                <c:pt idx="25">
                  <c:v>1042.0078858426189</c:v>
                </c:pt>
                <c:pt idx="26">
                  <c:v>1039.415458672732</c:v>
                </c:pt>
                <c:pt idx="27">
                  <c:v>1036.7299646369586</c:v>
                </c:pt>
                <c:pt idx="28">
                  <c:v>1033.9480626803884</c:v>
                </c:pt>
                <c:pt idx="29">
                  <c:v>1031.0662918058756</c:v>
                </c:pt>
                <c:pt idx="30">
                  <c:v>1028.0810667681724</c:v>
                </c:pt>
                <c:pt idx="31">
                  <c:v>1024.9886736134811</c:v>
                </c:pt>
                <c:pt idx="32">
                  <c:v>1021.7852650588825</c:v>
                </c:pt>
                <c:pt idx="33">
                  <c:v>1018.4668557058841</c:v>
                </c:pt>
                <c:pt idx="34">
                  <c:v>1015.0293170821394</c:v>
                </c:pt>
                <c:pt idx="35">
                  <c:v>1011.4683725051659</c:v>
                </c:pt>
                <c:pt idx="36">
                  <c:v>1007.7795917616752</c:v>
                </c:pt>
                <c:pt idx="37">
                  <c:v>1003.9583855958904</c:v>
                </c:pt>
              </c:numCache>
            </c:numRef>
          </c:val>
          <c:smooth val="0"/>
          <c:extLst>
            <c:ext xmlns:c16="http://schemas.microsoft.com/office/drawing/2014/chart" uri="{C3380CC4-5D6E-409C-BE32-E72D297353CC}">
              <c16:uniqueId val="{00000000-A394-4ADA-B7A7-EDCB92C51600}"/>
            </c:ext>
          </c:extLst>
        </c:ser>
        <c:dLbls>
          <c:showLegendKey val="0"/>
          <c:showVal val="0"/>
          <c:showCatName val="0"/>
          <c:showSerName val="0"/>
          <c:showPercent val="0"/>
          <c:showBubbleSize val="0"/>
        </c:dLbls>
        <c:smooth val="0"/>
        <c:axId val="709842304"/>
        <c:axId val="709842632"/>
      </c:lineChart>
      <c:catAx>
        <c:axId val="709842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sz="1400"/>
                  <a:t>Coupons</a:t>
                </a:r>
                <a:r>
                  <a:rPr lang="en-US" altLang="zh-CN" sz="1400" baseline="0"/>
                  <a:t> Remaining</a:t>
                </a:r>
              </a:p>
            </c:rich>
          </c:tx>
          <c:layout>
            <c:manualLayout>
              <c:xMode val="edge"/>
              <c:yMode val="edge"/>
              <c:x val="0.38559958383406312"/>
              <c:y val="0.910818051857532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842632"/>
        <c:crosses val="autoZero"/>
        <c:auto val="1"/>
        <c:lblAlgn val="ctr"/>
        <c:lblOffset val="100"/>
        <c:noMultiLvlLbl val="0"/>
      </c:catAx>
      <c:valAx>
        <c:axId val="709842632"/>
        <c:scaling>
          <c:orientation val="minMax"/>
        </c:scaling>
        <c:delete val="0"/>
        <c:axPos val="l"/>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84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215900</xdr:colOff>
          <xdr:row>2</xdr:row>
          <xdr:rowOff>25400</xdr:rowOff>
        </xdr:from>
        <xdr:to>
          <xdr:col>13</xdr:col>
          <xdr:colOff>254000</xdr:colOff>
          <xdr:row>4</xdr:row>
          <xdr:rowOff>127000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53</xdr:col>
      <xdr:colOff>282177</xdr:colOff>
      <xdr:row>111</xdr:row>
      <xdr:rowOff>109934</xdr:rowOff>
    </xdr:from>
    <xdr:to>
      <xdr:col>56</xdr:col>
      <xdr:colOff>1484709</xdr:colOff>
      <xdr:row>125</xdr:row>
      <xdr:rowOff>186134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56</xdr:col>
      <xdr:colOff>1580753</xdr:colOff>
      <xdr:row>111</xdr:row>
      <xdr:rowOff>105965</xdr:rowOff>
    </xdr:from>
    <xdr:to>
      <xdr:col>59</xdr:col>
      <xdr:colOff>35322</xdr:colOff>
      <xdr:row>125</xdr:row>
      <xdr:rowOff>182165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59</xdr:col>
      <xdr:colOff>204391</xdr:colOff>
      <xdr:row>111</xdr:row>
      <xdr:rowOff>113903</xdr:rowOff>
    </xdr:from>
    <xdr:to>
      <xdr:col>66</xdr:col>
      <xdr:colOff>482203</xdr:colOff>
      <xdr:row>125</xdr:row>
      <xdr:rowOff>190103</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39</xdr:col>
      <xdr:colOff>139700</xdr:colOff>
      <xdr:row>39</xdr:row>
      <xdr:rowOff>177801</xdr:rowOff>
    </xdr:from>
    <xdr:to>
      <xdr:col>53</xdr:col>
      <xdr:colOff>925512</xdr:colOff>
      <xdr:row>59</xdr:row>
      <xdr:rowOff>38101</xdr:rowOff>
    </xdr:to>
    <xdr:graphicFrame macro="">
      <xdr:nvGraphicFramePr>
        <xdr:cNvPr id="6" name="图表 1">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xdr:col>
          <xdr:colOff>127000</xdr:colOff>
          <xdr:row>40</xdr:row>
          <xdr:rowOff>38100</xdr:rowOff>
        </xdr:from>
        <xdr:to>
          <xdr:col>4</xdr:col>
          <xdr:colOff>304800</xdr:colOff>
          <xdr:row>42</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393700</xdr:colOff>
          <xdr:row>34</xdr:row>
          <xdr:rowOff>50800</xdr:rowOff>
        </xdr:from>
        <xdr:to>
          <xdr:col>27</xdr:col>
          <xdr:colOff>0</xdr:colOff>
          <xdr:row>36</xdr:row>
          <xdr:rowOff>139700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342900</xdr:colOff>
          <xdr:row>60</xdr:row>
          <xdr:rowOff>12700</xdr:rowOff>
        </xdr:from>
        <xdr:to>
          <xdr:col>48</xdr:col>
          <xdr:colOff>114300</xdr:colOff>
          <xdr:row>62</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101600</xdr:colOff>
          <xdr:row>12</xdr:row>
          <xdr:rowOff>50800</xdr:rowOff>
        </xdr:from>
        <xdr:to>
          <xdr:col>56</xdr:col>
          <xdr:colOff>1155700</xdr:colOff>
          <xdr:row>14</xdr:row>
          <xdr:rowOff>139700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25400</xdr:colOff>
          <xdr:row>22</xdr:row>
          <xdr:rowOff>139700</xdr:rowOff>
        </xdr:from>
        <xdr:to>
          <xdr:col>68</xdr:col>
          <xdr:colOff>101600</xdr:colOff>
          <xdr:row>25</xdr:row>
          <xdr:rowOff>38100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85</xdr:col>
          <xdr:colOff>38100</xdr:colOff>
          <xdr:row>6</xdr:row>
          <xdr:rowOff>12700</xdr:rowOff>
        </xdr:from>
        <xdr:to>
          <xdr:col>87</xdr:col>
          <xdr:colOff>203200</xdr:colOff>
          <xdr:row>8</xdr:row>
          <xdr:rowOff>101600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3644900</xdr:colOff>
          <xdr:row>127</xdr:row>
          <xdr:rowOff>12700</xdr:rowOff>
        </xdr:from>
        <xdr:to>
          <xdr:col>58</xdr:col>
          <xdr:colOff>406400</xdr:colOff>
          <xdr:row>129</xdr:row>
          <xdr:rowOff>101600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40</xdr:row>
          <xdr:rowOff>101600</xdr:rowOff>
        </xdr:from>
        <xdr:to>
          <xdr:col>0</xdr:col>
          <xdr:colOff>1790700</xdr:colOff>
          <xdr:row>43</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2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Backup users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2400300</xdr:colOff>
          <xdr:row>40</xdr:row>
          <xdr:rowOff>101600</xdr:rowOff>
        </xdr:from>
        <xdr:to>
          <xdr:col>1</xdr:col>
          <xdr:colOff>330200</xdr:colOff>
          <xdr:row>42</xdr:row>
          <xdr:rowOff>177800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users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825500</xdr:colOff>
          <xdr:row>40</xdr:row>
          <xdr:rowOff>63500</xdr:rowOff>
        </xdr:from>
        <xdr:to>
          <xdr:col>2</xdr:col>
          <xdr:colOff>355600</xdr:colOff>
          <xdr:row>42</xdr:row>
          <xdr:rowOff>152400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Defualt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2387600</xdr:colOff>
          <xdr:row>36</xdr:row>
          <xdr:rowOff>0</xdr:rowOff>
        </xdr:from>
        <xdr:to>
          <xdr:col>1</xdr:col>
          <xdr:colOff>317500</xdr:colOff>
          <xdr:row>39</xdr:row>
          <xdr:rowOff>101600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Holding Period Cash Flow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254000</xdr:colOff>
          <xdr:row>6</xdr:row>
          <xdr:rowOff>177800</xdr:rowOff>
        </xdr:from>
        <xdr:to>
          <xdr:col>18</xdr:col>
          <xdr:colOff>393700</xdr:colOff>
          <xdr:row>9</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406400</xdr:colOff>
          <xdr:row>36</xdr:row>
          <xdr:rowOff>25400</xdr:rowOff>
        </xdr:from>
        <xdr:to>
          <xdr:col>0</xdr:col>
          <xdr:colOff>1778000</xdr:colOff>
          <xdr:row>38</xdr:row>
          <xdr:rowOff>101600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Yield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36</xdr:row>
          <xdr:rowOff>0</xdr:rowOff>
        </xdr:from>
        <xdr:to>
          <xdr:col>4</xdr:col>
          <xdr:colOff>304800</xdr:colOff>
          <xdr:row>38</xdr:row>
          <xdr:rowOff>76200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2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Work 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93</xdr:col>
          <xdr:colOff>1143000</xdr:colOff>
          <xdr:row>34</xdr:row>
          <xdr:rowOff>0</xdr:rowOff>
        </xdr:from>
        <xdr:to>
          <xdr:col>95</xdr:col>
          <xdr:colOff>342900</xdr:colOff>
          <xdr:row>36</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825500</xdr:colOff>
          <xdr:row>35</xdr:row>
          <xdr:rowOff>177800</xdr:rowOff>
        </xdr:from>
        <xdr:to>
          <xdr:col>2</xdr:col>
          <xdr:colOff>355600</xdr:colOff>
          <xdr:row>39</xdr:row>
          <xdr:rowOff>88900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2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Coupon Trajectory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d.ad.syr.edu/02/hd.ad.syr.edu/Users/jingwenxu/Desktop/FIN761/P00/P00-Group1C%20cop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kshukla/Teaching/1211/FIN461/Projects/P04/P04-rkshukl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tRecentDataFromYahoo"/>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Model"/>
      <sheetName val="LaTeXDefs"/>
    </sheetNames>
    <sheetDataSet>
      <sheetData sheetId="0">
        <row r="1">
          <cell r="B1" t="str">
            <v>FIN461</v>
          </cell>
        </row>
      </sheetData>
      <sheetData sheetId="1"/>
      <sheetData sheetId="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C32BA5C6-E045-4117-A656-C8ACF0615944}" autoFormatId="16" applyNumberFormats="0" applyBorderFormats="0" applyFontFormats="0" applyPatternFormats="0" applyAlignmentFormats="0" applyWidthHeightFormats="0">
  <queryTableRefresh nextId="14">
    <queryTableFields count="13">
      <queryTableField id="1" name="Date" tableColumnId="1"/>
      <queryTableField id="2" name="1 mo" tableColumnId="2"/>
      <queryTableField id="3" name="2 mo" tableColumnId="3"/>
      <queryTableField id="4" name="3 mo" tableColumnId="4"/>
      <queryTableField id="5" name="6 mo" tableColumnId="5"/>
      <queryTableField id="6" name="1 yr" tableColumnId="6"/>
      <queryTableField id="7" name="2 yr" tableColumnId="7"/>
      <queryTableField id="8" name="3 yr" tableColumnId="8"/>
      <queryTableField id="9" name="5 yr" tableColumnId="9"/>
      <queryTableField id="10" name="7 yr" tableColumnId="10"/>
      <queryTableField id="11" name="10 yr" tableColumnId="11"/>
      <queryTableField id="12" name="20 yr" tableColumnId="12"/>
      <queryTableField id="13" name="30 yr"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E8520D-F053-42F5-8875-BED5FF0A6249}" name="Table_0__2" displayName="Table_0__2" ref="AN1:AZ13" tableType="queryTable" totalsRowShown="0">
  <autoFilter ref="AN1:AZ13" xr:uid="{46D37AEB-57F2-4E60-8D73-AC88A3E08FA2}"/>
  <tableColumns count="13">
    <tableColumn id="1" xr3:uid="{2083B69D-F719-4707-AE30-55B76AF0C48E}" uniqueName="1" name="Date" queryTableFieldId="1" dataDxfId="0"/>
    <tableColumn id="2" xr3:uid="{55482010-AE73-4753-BA9D-0000B4AE64A9}" uniqueName="2" name="1 mo" queryTableFieldId="2"/>
    <tableColumn id="3" xr3:uid="{430370C5-F70B-4077-94EC-4141961870B9}" uniqueName="3" name="2 mo" queryTableFieldId="3"/>
    <tableColumn id="4" xr3:uid="{74DB4EC9-D533-4577-B7E8-9C0D128F3520}" uniqueName="4" name="3 mo" queryTableFieldId="4"/>
    <tableColumn id="5" xr3:uid="{A6D57992-65C6-4CC7-B19D-01BEFC8C51F8}" uniqueName="5" name="6 mo" queryTableFieldId="5"/>
    <tableColumn id="6" xr3:uid="{A1F12D29-56E9-4AFD-9D35-53C14BF85068}" uniqueName="6" name="1 yr" queryTableFieldId="6"/>
    <tableColumn id="7" xr3:uid="{F5EF7DB7-E586-4659-BED9-3D8AA0294800}" uniqueName="7" name="2 yr" queryTableFieldId="7"/>
    <tableColumn id="8" xr3:uid="{EFB4F4D4-2FA8-4459-9251-36EF132AAFF5}" uniqueName="8" name="3 yr" queryTableFieldId="8"/>
    <tableColumn id="9" xr3:uid="{B66BF1EB-4246-4840-9C5B-73264DC4C627}" uniqueName="9" name="5 yr" queryTableFieldId="9"/>
    <tableColumn id="10" xr3:uid="{0777AA4A-B2BC-4938-BAA3-AC7056339D53}" uniqueName="10" name="7 yr" queryTableFieldId="10"/>
    <tableColumn id="11" xr3:uid="{B5F5AD2E-727A-4F2B-A874-9D3A03E86A51}" uniqueName="11" name="10 yr" queryTableFieldId="11"/>
    <tableColumn id="12" xr3:uid="{545521A8-5856-4443-8E33-E04BF14796E6}" uniqueName="12" name="20 yr" queryTableFieldId="12"/>
    <tableColumn id="13" xr3:uid="{C8379C06-EAAB-40A6-92F5-6281F1287146}" uniqueName="13" name="30 yr" queryTableFieldId="1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21" Type="http://schemas.openxmlformats.org/officeDocument/2006/relationships/table" Target="../tables/table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customProperty" Target="../customProperty1.bin"/><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EDF0D-DB28-48C9-97B0-53CD25396900}">
  <sheetPr codeName="Sheet2"/>
  <dimension ref="A1:K92"/>
  <sheetViews>
    <sheetView showGridLines="0" zoomScaleNormal="100" workbookViewId="0">
      <selection sqref="A1:K1"/>
    </sheetView>
  </sheetViews>
  <sheetFormatPr baseColWidth="10" defaultColWidth="8.83203125" defaultRowHeight="15" x14ac:dyDescent="0.2"/>
  <cols>
    <col min="1" max="11" width="8.6640625" style="63"/>
  </cols>
  <sheetData>
    <row r="1" spans="1:11" ht="21" x14ac:dyDescent="0.25">
      <c r="A1" s="85" t="s">
        <v>165</v>
      </c>
      <c r="B1" s="85"/>
      <c r="C1" s="85"/>
      <c r="D1" s="85"/>
      <c r="E1" s="85"/>
      <c r="F1" s="85"/>
      <c r="G1" s="85"/>
      <c r="H1" s="85"/>
      <c r="I1" s="85"/>
      <c r="J1" s="85"/>
      <c r="K1" s="85"/>
    </row>
    <row r="3" spans="1:11" x14ac:dyDescent="0.2">
      <c r="A3" s="64" t="s">
        <v>167</v>
      </c>
    </row>
    <row r="4" spans="1:11" x14ac:dyDescent="0.2">
      <c r="A4" s="84" t="s">
        <v>182</v>
      </c>
      <c r="B4" s="84"/>
      <c r="C4" s="84"/>
      <c r="D4" s="84"/>
      <c r="E4" s="84"/>
      <c r="F4" s="84"/>
      <c r="G4" s="84"/>
      <c r="H4" s="84"/>
      <c r="I4" s="84"/>
      <c r="J4" s="84"/>
      <c r="K4" s="84"/>
    </row>
    <row r="5" spans="1:11" x14ac:dyDescent="0.2">
      <c r="A5" s="84"/>
      <c r="B5" s="84"/>
      <c r="C5" s="84"/>
      <c r="D5" s="84"/>
      <c r="E5" s="84"/>
      <c r="F5" s="84"/>
      <c r="G5" s="84"/>
      <c r="H5" s="84"/>
      <c r="I5" s="84"/>
      <c r="J5" s="84"/>
      <c r="K5" s="84"/>
    </row>
    <row r="6" spans="1:11" x14ac:dyDescent="0.2">
      <c r="A6" s="84"/>
      <c r="B6" s="84"/>
      <c r="C6" s="84"/>
      <c r="D6" s="84"/>
      <c r="E6" s="84"/>
      <c r="F6" s="84"/>
      <c r="G6" s="84"/>
      <c r="H6" s="84"/>
      <c r="I6" s="84"/>
      <c r="J6" s="84"/>
      <c r="K6" s="84"/>
    </row>
    <row r="7" spans="1:11" x14ac:dyDescent="0.2">
      <c r="A7" s="84"/>
      <c r="B7" s="84"/>
      <c r="C7" s="84"/>
      <c r="D7" s="84"/>
      <c r="E7" s="84"/>
      <c r="F7" s="84"/>
      <c r="G7" s="84"/>
      <c r="H7" s="84"/>
      <c r="I7" s="84"/>
      <c r="J7" s="84"/>
      <c r="K7" s="84"/>
    </row>
    <row r="8" spans="1:11" x14ac:dyDescent="0.2">
      <c r="A8" s="84"/>
      <c r="B8" s="84"/>
      <c r="C8" s="84"/>
      <c r="D8" s="84"/>
      <c r="E8" s="84"/>
      <c r="F8" s="84"/>
      <c r="G8" s="84"/>
      <c r="H8" s="84"/>
      <c r="I8" s="84"/>
      <c r="J8" s="84"/>
      <c r="K8" s="84"/>
    </row>
    <row r="9" spans="1:11" x14ac:dyDescent="0.2">
      <c r="A9" s="84"/>
      <c r="B9" s="84"/>
      <c r="C9" s="84"/>
      <c r="D9" s="84"/>
      <c r="E9" s="84"/>
      <c r="F9" s="84"/>
      <c r="G9" s="84"/>
      <c r="H9" s="84"/>
      <c r="I9" s="84"/>
      <c r="J9" s="84"/>
      <c r="K9" s="84"/>
    </row>
    <row r="10" spans="1:11" x14ac:dyDescent="0.2">
      <c r="A10" s="84"/>
      <c r="B10" s="84"/>
      <c r="C10" s="84"/>
      <c r="D10" s="84"/>
      <c r="E10" s="84"/>
      <c r="F10" s="84"/>
      <c r="G10" s="84"/>
      <c r="H10" s="84"/>
      <c r="I10" s="84"/>
      <c r="J10" s="84"/>
      <c r="K10" s="84"/>
    </row>
    <row r="11" spans="1:11" x14ac:dyDescent="0.2">
      <c r="A11" s="84"/>
      <c r="B11" s="84"/>
      <c r="C11" s="84"/>
      <c r="D11" s="84"/>
      <c r="E11" s="84"/>
      <c r="F11" s="84"/>
      <c r="G11" s="84"/>
      <c r="H11" s="84"/>
      <c r="I11" s="84"/>
      <c r="J11" s="84"/>
      <c r="K11" s="84"/>
    </row>
    <row r="12" spans="1:11" x14ac:dyDescent="0.2">
      <c r="A12" s="84"/>
      <c r="B12" s="84"/>
      <c r="C12" s="84"/>
      <c r="D12" s="84"/>
      <c r="E12" s="84"/>
      <c r="F12" s="84"/>
      <c r="G12" s="84"/>
      <c r="H12" s="84"/>
      <c r="I12" s="84"/>
      <c r="J12" s="84"/>
      <c r="K12" s="84"/>
    </row>
    <row r="13" spans="1:11" x14ac:dyDescent="0.2">
      <c r="A13" s="64" t="s">
        <v>166</v>
      </c>
    </row>
    <row r="14" spans="1:11" ht="14.5" customHeight="1" x14ac:dyDescent="0.2"/>
    <row r="15" spans="1:11" x14ac:dyDescent="0.2">
      <c r="A15" s="88" t="s">
        <v>175</v>
      </c>
      <c r="B15" s="88"/>
      <c r="C15" s="88"/>
      <c r="D15" s="88"/>
      <c r="E15" s="88"/>
      <c r="F15" s="88"/>
      <c r="G15" s="88"/>
      <c r="H15" s="88"/>
      <c r="I15" s="88"/>
      <c r="J15" s="88"/>
      <c r="K15" s="88"/>
    </row>
    <row r="16" spans="1:11" x14ac:dyDescent="0.2">
      <c r="A16" s="87" t="s">
        <v>168</v>
      </c>
      <c r="B16" s="87"/>
      <c r="C16" s="87"/>
      <c r="D16" s="87"/>
      <c r="E16" s="87"/>
      <c r="F16" s="87"/>
      <c r="G16" s="87"/>
      <c r="H16" s="87"/>
      <c r="I16" s="87"/>
      <c r="J16" s="87"/>
      <c r="K16" s="87"/>
    </row>
    <row r="17" spans="1:11" x14ac:dyDescent="0.2">
      <c r="A17" s="87"/>
      <c r="B17" s="87"/>
      <c r="C17" s="87"/>
      <c r="D17" s="87"/>
      <c r="E17" s="87"/>
      <c r="F17" s="87"/>
      <c r="G17" s="87"/>
      <c r="H17" s="87"/>
      <c r="I17" s="87"/>
      <c r="J17" s="87"/>
      <c r="K17" s="87"/>
    </row>
    <row r="19" spans="1:11" x14ac:dyDescent="0.2">
      <c r="A19" s="86" t="s">
        <v>169</v>
      </c>
      <c r="B19" s="86"/>
      <c r="C19" s="86"/>
      <c r="D19" s="86"/>
      <c r="E19" s="86"/>
      <c r="F19" s="86"/>
      <c r="G19" s="86"/>
      <c r="H19" s="86"/>
      <c r="I19" s="86"/>
      <c r="J19" s="86"/>
      <c r="K19" s="86"/>
    </row>
    <row r="20" spans="1:11" x14ac:dyDescent="0.2">
      <c r="A20" s="86"/>
      <c r="B20" s="86"/>
      <c r="C20" s="86"/>
      <c r="D20" s="86"/>
      <c r="E20" s="86"/>
      <c r="F20" s="86"/>
      <c r="G20" s="86"/>
      <c r="H20" s="86"/>
      <c r="I20" s="86"/>
      <c r="J20" s="86"/>
      <c r="K20" s="86"/>
    </row>
    <row r="22" spans="1:11" x14ac:dyDescent="0.2">
      <c r="A22" s="87" t="s">
        <v>170</v>
      </c>
      <c r="B22" s="87"/>
      <c r="C22" s="87"/>
      <c r="D22" s="87"/>
      <c r="E22" s="87"/>
      <c r="F22" s="87"/>
      <c r="G22" s="87"/>
      <c r="H22" s="87"/>
      <c r="I22" s="87"/>
      <c r="J22" s="87"/>
      <c r="K22" s="87"/>
    </row>
    <row r="23" spans="1:11" x14ac:dyDescent="0.2">
      <c r="A23" s="87"/>
      <c r="B23" s="87"/>
      <c r="C23" s="87"/>
      <c r="D23" s="87"/>
      <c r="E23" s="87"/>
      <c r="F23" s="87"/>
      <c r="G23" s="87"/>
      <c r="H23" s="87"/>
      <c r="I23" s="87"/>
      <c r="J23" s="87"/>
      <c r="K23" s="87"/>
    </row>
    <row r="25" spans="1:11" x14ac:dyDescent="0.2">
      <c r="A25" s="87" t="s">
        <v>171</v>
      </c>
      <c r="B25" s="87"/>
      <c r="C25" s="87"/>
      <c r="D25" s="87"/>
      <c r="E25" s="87"/>
      <c r="F25" s="87"/>
      <c r="G25" s="87"/>
      <c r="H25" s="87"/>
      <c r="I25" s="87"/>
      <c r="J25" s="87"/>
      <c r="K25" s="87"/>
    </row>
    <row r="26" spans="1:11" x14ac:dyDescent="0.2">
      <c r="A26" s="87"/>
      <c r="B26" s="87"/>
      <c r="C26" s="87"/>
      <c r="D26" s="87"/>
      <c r="E26" s="87"/>
      <c r="F26" s="87"/>
      <c r="G26" s="87"/>
      <c r="H26" s="87"/>
      <c r="I26" s="87"/>
      <c r="J26" s="87"/>
      <c r="K26" s="87"/>
    </row>
    <row r="28" spans="1:11" x14ac:dyDescent="0.2">
      <c r="A28" s="65" t="s">
        <v>172</v>
      </c>
    </row>
    <row r="30" spans="1:11" x14ac:dyDescent="0.2">
      <c r="A30" s="87" t="s">
        <v>173</v>
      </c>
      <c r="B30" s="87"/>
      <c r="C30" s="87"/>
      <c r="D30" s="87"/>
      <c r="E30" s="87"/>
      <c r="F30" s="87"/>
      <c r="G30" s="87"/>
      <c r="H30" s="87"/>
      <c r="I30" s="87"/>
      <c r="J30" s="87"/>
      <c r="K30" s="87"/>
    </row>
    <row r="31" spans="1:11" x14ac:dyDescent="0.2">
      <c r="A31" s="87"/>
      <c r="B31" s="87"/>
      <c r="C31" s="87"/>
      <c r="D31" s="87"/>
      <c r="E31" s="87"/>
      <c r="F31" s="87"/>
      <c r="G31" s="87"/>
      <c r="H31" s="87"/>
      <c r="I31" s="87"/>
      <c r="J31" s="87"/>
      <c r="K31" s="87"/>
    </row>
    <row r="33" spans="1:11" x14ac:dyDescent="0.2">
      <c r="A33" s="88" t="s">
        <v>174</v>
      </c>
      <c r="B33" s="88"/>
      <c r="C33" s="88"/>
      <c r="D33" s="88"/>
      <c r="E33" s="88"/>
      <c r="F33" s="88"/>
      <c r="G33" s="88"/>
      <c r="H33" s="88"/>
      <c r="I33" s="88"/>
      <c r="J33" s="88"/>
      <c r="K33" s="88"/>
    </row>
    <row r="34" spans="1:11" x14ac:dyDescent="0.2">
      <c r="A34" s="87" t="s">
        <v>176</v>
      </c>
      <c r="B34" s="87"/>
      <c r="C34" s="87"/>
      <c r="D34" s="87"/>
      <c r="E34" s="87"/>
      <c r="F34" s="87"/>
      <c r="G34" s="87"/>
      <c r="H34" s="87"/>
      <c r="I34" s="87"/>
      <c r="J34" s="87"/>
      <c r="K34" s="87"/>
    </row>
    <row r="35" spans="1:11" x14ac:dyDescent="0.2">
      <c r="A35" s="87"/>
      <c r="B35" s="87"/>
      <c r="C35" s="87"/>
      <c r="D35" s="87"/>
      <c r="E35" s="87"/>
      <c r="F35" s="87"/>
      <c r="G35" s="87"/>
      <c r="H35" s="87"/>
      <c r="I35" s="87"/>
      <c r="J35" s="87"/>
      <c r="K35" s="87"/>
    </row>
    <row r="36" spans="1:11" x14ac:dyDescent="0.2">
      <c r="A36" s="87"/>
      <c r="B36" s="87"/>
      <c r="C36" s="87"/>
      <c r="D36" s="87"/>
      <c r="E36" s="87"/>
      <c r="F36" s="87"/>
      <c r="G36" s="87"/>
      <c r="H36" s="87"/>
      <c r="I36" s="87"/>
      <c r="J36" s="87"/>
      <c r="K36" s="87"/>
    </row>
    <row r="38" spans="1:11" x14ac:dyDescent="0.2">
      <c r="A38" s="87" t="s">
        <v>180</v>
      </c>
      <c r="B38" s="87"/>
      <c r="C38" s="87"/>
      <c r="D38" s="87"/>
      <c r="E38" s="87"/>
      <c r="F38" s="87"/>
      <c r="G38" s="87"/>
      <c r="H38" s="87"/>
      <c r="I38" s="87"/>
      <c r="J38" s="87"/>
      <c r="K38" s="87"/>
    </row>
    <row r="39" spans="1:11" x14ac:dyDescent="0.2">
      <c r="A39" s="87"/>
      <c r="B39" s="87"/>
      <c r="C39" s="87"/>
      <c r="D39" s="87"/>
      <c r="E39" s="87"/>
      <c r="F39" s="87"/>
      <c r="G39" s="87"/>
      <c r="H39" s="87"/>
      <c r="I39" s="87"/>
      <c r="J39" s="87"/>
      <c r="K39" s="87"/>
    </row>
    <row r="41" spans="1:11" x14ac:dyDescent="0.2">
      <c r="A41" s="64" t="s">
        <v>188</v>
      </c>
    </row>
    <row r="42" spans="1:11" ht="14.25" customHeight="1" x14ac:dyDescent="0.2">
      <c r="A42" s="84" t="s">
        <v>183</v>
      </c>
      <c r="B42" s="84"/>
      <c r="C42" s="84"/>
      <c r="D42" s="84"/>
      <c r="E42" s="84"/>
      <c r="F42" s="84"/>
      <c r="G42" s="84"/>
      <c r="H42" s="84"/>
      <c r="I42" s="84"/>
      <c r="J42" s="84"/>
      <c r="K42" s="84"/>
    </row>
    <row r="43" spans="1:11" x14ac:dyDescent="0.2">
      <c r="A43" s="84"/>
      <c r="B43" s="84"/>
      <c r="C43" s="84"/>
      <c r="D43" s="84"/>
      <c r="E43" s="84"/>
      <c r="F43" s="84"/>
      <c r="G43" s="84"/>
      <c r="H43" s="84"/>
      <c r="I43" s="84"/>
      <c r="J43" s="84"/>
      <c r="K43" s="84"/>
    </row>
    <row r="44" spans="1:11" x14ac:dyDescent="0.2">
      <c r="A44" s="84"/>
      <c r="B44" s="84"/>
      <c r="C44" s="84"/>
      <c r="D44" s="84"/>
      <c r="E44" s="84"/>
      <c r="F44" s="84"/>
      <c r="G44" s="84"/>
      <c r="H44" s="84"/>
      <c r="I44" s="84"/>
      <c r="J44" s="84"/>
      <c r="K44" s="84"/>
    </row>
    <row r="45" spans="1:11" x14ac:dyDescent="0.2">
      <c r="A45" s="84"/>
      <c r="B45" s="84"/>
      <c r="C45" s="84"/>
      <c r="D45" s="84"/>
      <c r="E45" s="84"/>
      <c r="F45" s="84"/>
      <c r="G45" s="84"/>
      <c r="H45" s="84"/>
      <c r="I45" s="84"/>
      <c r="J45" s="84"/>
      <c r="K45" s="84"/>
    </row>
    <row r="46" spans="1:11" x14ac:dyDescent="0.2">
      <c r="A46" s="84"/>
      <c r="B46" s="84"/>
      <c r="C46" s="84"/>
      <c r="D46" s="84"/>
      <c r="E46" s="84"/>
      <c r="F46" s="84"/>
      <c r="G46" s="84"/>
      <c r="H46" s="84"/>
      <c r="I46" s="84"/>
      <c r="J46" s="84"/>
      <c r="K46" s="84"/>
    </row>
    <row r="47" spans="1:11" ht="14.25" customHeight="1" x14ac:dyDescent="0.2">
      <c r="A47" s="84" t="s">
        <v>184</v>
      </c>
      <c r="B47" s="84"/>
      <c r="C47" s="84"/>
      <c r="D47" s="84"/>
      <c r="E47" s="84"/>
      <c r="F47" s="84"/>
      <c r="G47" s="84"/>
      <c r="H47" s="84"/>
      <c r="I47" s="84"/>
      <c r="J47" s="84"/>
      <c r="K47" s="84"/>
    </row>
    <row r="48" spans="1:11" x14ac:dyDescent="0.2">
      <c r="A48" s="84"/>
      <c r="B48" s="84"/>
      <c r="C48" s="84"/>
      <c r="D48" s="84"/>
      <c r="E48" s="84"/>
      <c r="F48" s="84"/>
      <c r="G48" s="84"/>
      <c r="H48" s="84"/>
      <c r="I48" s="84"/>
      <c r="J48" s="84"/>
      <c r="K48" s="84"/>
    </row>
    <row r="49" spans="1:11" x14ac:dyDescent="0.2">
      <c r="A49" s="67"/>
      <c r="B49" s="67"/>
      <c r="C49" s="67"/>
      <c r="D49" s="67"/>
      <c r="E49" s="67"/>
      <c r="F49" s="67"/>
      <c r="G49" s="67"/>
      <c r="H49" s="67"/>
      <c r="I49" s="67"/>
      <c r="J49" s="67"/>
      <c r="K49" s="67"/>
    </row>
    <row r="50" spans="1:11" ht="15.75" customHeight="1" x14ac:dyDescent="0.2">
      <c r="A50" s="84" t="s">
        <v>185</v>
      </c>
      <c r="B50" s="84"/>
      <c r="C50" s="84"/>
      <c r="D50" s="84"/>
      <c r="E50" s="84"/>
      <c r="F50" s="84"/>
      <c r="G50" s="84"/>
      <c r="H50" s="84"/>
      <c r="I50" s="84"/>
      <c r="J50" s="84"/>
      <c r="K50" s="84"/>
    </row>
    <row r="51" spans="1:11" x14ac:dyDescent="0.2">
      <c r="A51" s="84"/>
      <c r="B51" s="84"/>
      <c r="C51" s="84"/>
      <c r="D51" s="84"/>
      <c r="E51" s="84"/>
      <c r="F51" s="84"/>
      <c r="G51" s="84"/>
      <c r="H51" s="84"/>
      <c r="I51" s="84"/>
      <c r="J51" s="84"/>
      <c r="K51" s="84"/>
    </row>
    <row r="52" spans="1:11" x14ac:dyDescent="0.2">
      <c r="A52" s="84"/>
      <c r="B52" s="84"/>
      <c r="C52" s="84"/>
      <c r="D52" s="84"/>
      <c r="E52" s="84"/>
      <c r="F52" s="84"/>
      <c r="G52" s="84"/>
      <c r="H52" s="84"/>
      <c r="I52" s="84"/>
      <c r="J52" s="84"/>
      <c r="K52" s="84"/>
    </row>
    <row r="53" spans="1:11" ht="14.25" customHeight="1" x14ac:dyDescent="0.2">
      <c r="A53" s="84" t="s">
        <v>186</v>
      </c>
      <c r="B53" s="84"/>
      <c r="C53" s="84"/>
      <c r="D53" s="84"/>
      <c r="E53" s="84"/>
      <c r="F53" s="84"/>
      <c r="G53" s="84"/>
      <c r="H53" s="84"/>
      <c r="I53" s="84"/>
      <c r="J53" s="84"/>
      <c r="K53" s="84"/>
    </row>
    <row r="54" spans="1:11" x14ac:dyDescent="0.2">
      <c r="A54" s="84"/>
      <c r="B54" s="84"/>
      <c r="C54" s="84"/>
      <c r="D54" s="84"/>
      <c r="E54" s="84"/>
      <c r="F54" s="84"/>
      <c r="G54" s="84"/>
      <c r="H54" s="84"/>
      <c r="I54" s="84"/>
      <c r="J54" s="84"/>
      <c r="K54" s="84"/>
    </row>
    <row r="55" spans="1:11" x14ac:dyDescent="0.2">
      <c r="A55" s="84"/>
      <c r="B55" s="84"/>
      <c r="C55" s="84"/>
      <c r="D55" s="84"/>
      <c r="E55" s="84"/>
      <c r="F55" s="84"/>
      <c r="G55" s="84"/>
      <c r="H55" s="84"/>
      <c r="I55" s="84"/>
      <c r="J55" s="84"/>
      <c r="K55" s="84"/>
    </row>
    <row r="56" spans="1:11" x14ac:dyDescent="0.2">
      <c r="A56" s="84"/>
      <c r="B56" s="84"/>
      <c r="C56" s="84"/>
      <c r="D56" s="84"/>
      <c r="E56" s="84"/>
      <c r="F56" s="84"/>
      <c r="G56" s="84"/>
      <c r="H56" s="84"/>
      <c r="I56" s="84"/>
      <c r="J56" s="84"/>
      <c r="K56" s="84"/>
    </row>
    <row r="57" spans="1:11" ht="15" customHeight="1" x14ac:dyDescent="0.2">
      <c r="A57" s="67"/>
      <c r="B57" s="67"/>
      <c r="C57" s="67"/>
      <c r="D57" s="67"/>
      <c r="E57" s="67"/>
      <c r="F57" s="67"/>
      <c r="G57" s="67"/>
      <c r="H57" s="67"/>
      <c r="I57" s="67"/>
      <c r="J57" s="67"/>
      <c r="K57" s="67"/>
    </row>
    <row r="58" spans="1:11" ht="14.25" customHeight="1" x14ac:dyDescent="0.2">
      <c r="A58" s="84" t="s">
        <v>187</v>
      </c>
      <c r="B58" s="84"/>
      <c r="C58" s="84"/>
      <c r="D58" s="84"/>
      <c r="E58" s="84"/>
      <c r="F58" s="84"/>
      <c r="G58" s="84"/>
      <c r="H58" s="84"/>
      <c r="I58" s="84"/>
      <c r="J58" s="84"/>
      <c r="K58" s="84"/>
    </row>
    <row r="59" spans="1:11" x14ac:dyDescent="0.2">
      <c r="A59" s="84"/>
      <c r="B59" s="84"/>
      <c r="C59" s="84"/>
      <c r="D59" s="84"/>
      <c r="E59" s="84"/>
      <c r="F59" s="84"/>
      <c r="G59" s="84"/>
      <c r="H59" s="84"/>
      <c r="I59" s="84"/>
      <c r="J59" s="84"/>
      <c r="K59" s="84"/>
    </row>
    <row r="60" spans="1:11" x14ac:dyDescent="0.2">
      <c r="A60" s="84"/>
      <c r="B60" s="84"/>
      <c r="C60" s="84"/>
      <c r="D60" s="84"/>
      <c r="E60" s="84"/>
      <c r="F60" s="84"/>
      <c r="G60" s="84"/>
      <c r="H60" s="84"/>
      <c r="I60" s="84"/>
      <c r="J60" s="84"/>
      <c r="K60" s="84"/>
    </row>
    <row r="61" spans="1:11" x14ac:dyDescent="0.2">
      <c r="A61" s="64" t="s">
        <v>189</v>
      </c>
      <c r="B61" s="67"/>
      <c r="C61" s="67"/>
      <c r="D61" s="67"/>
      <c r="E61" s="67"/>
      <c r="F61" s="67"/>
      <c r="G61" s="67"/>
      <c r="H61" s="67"/>
      <c r="I61" s="67"/>
      <c r="J61" s="67"/>
      <c r="K61" s="67"/>
    </row>
    <row r="62" spans="1:11" ht="14.25" customHeight="1" x14ac:dyDescent="0.2">
      <c r="A62" s="84" t="s">
        <v>196</v>
      </c>
      <c r="B62" s="84"/>
      <c r="C62" s="84"/>
      <c r="D62" s="84"/>
      <c r="E62" s="84"/>
      <c r="F62" s="84"/>
      <c r="G62" s="84"/>
      <c r="H62" s="84"/>
      <c r="I62" s="84"/>
      <c r="J62" s="84"/>
      <c r="K62" s="84"/>
    </row>
    <row r="63" spans="1:11" x14ac:dyDescent="0.2">
      <c r="A63" s="84"/>
      <c r="B63" s="84"/>
      <c r="C63" s="84"/>
      <c r="D63" s="84"/>
      <c r="E63" s="84"/>
      <c r="F63" s="84"/>
      <c r="G63" s="84"/>
      <c r="H63" s="84"/>
      <c r="I63" s="84"/>
      <c r="J63" s="84"/>
      <c r="K63" s="84"/>
    </row>
    <row r="64" spans="1:11" x14ac:dyDescent="0.2">
      <c r="A64" s="84"/>
      <c r="B64" s="84"/>
      <c r="C64" s="84"/>
      <c r="D64" s="84"/>
      <c r="E64" s="84"/>
      <c r="F64" s="84"/>
      <c r="G64" s="84"/>
      <c r="H64" s="84"/>
      <c r="I64" s="84"/>
      <c r="J64" s="84"/>
      <c r="K64" s="84"/>
    </row>
    <row r="65" spans="1:11" x14ac:dyDescent="0.2">
      <c r="A65" s="84"/>
      <c r="B65" s="84"/>
      <c r="C65" s="84"/>
      <c r="D65" s="84"/>
      <c r="E65" s="84"/>
      <c r="F65" s="84"/>
      <c r="G65" s="84"/>
      <c r="H65" s="84"/>
      <c r="I65" s="84"/>
      <c r="J65" s="84"/>
      <c r="K65" s="84"/>
    </row>
    <row r="66" spans="1:11" x14ac:dyDescent="0.2">
      <c r="A66" s="84"/>
      <c r="B66" s="84"/>
      <c r="C66" s="84"/>
      <c r="D66" s="84"/>
      <c r="E66" s="84"/>
      <c r="F66" s="84"/>
      <c r="G66" s="84"/>
      <c r="H66" s="84"/>
      <c r="I66" s="84"/>
      <c r="J66" s="84"/>
      <c r="K66" s="84"/>
    </row>
    <row r="67" spans="1:11" x14ac:dyDescent="0.2">
      <c r="A67" s="84"/>
      <c r="B67" s="84"/>
      <c r="C67" s="84"/>
      <c r="D67" s="84"/>
      <c r="E67" s="84"/>
      <c r="F67" s="84"/>
      <c r="G67" s="84"/>
      <c r="H67" s="84"/>
      <c r="I67" s="84"/>
      <c r="J67" s="84"/>
      <c r="K67" s="84"/>
    </row>
    <row r="68" spans="1:11" x14ac:dyDescent="0.2">
      <c r="A68" s="84"/>
      <c r="B68" s="84"/>
      <c r="C68" s="84"/>
      <c r="D68" s="84"/>
      <c r="E68" s="84"/>
      <c r="F68" s="84"/>
      <c r="G68" s="84"/>
      <c r="H68" s="84"/>
      <c r="I68" s="84"/>
      <c r="J68" s="84"/>
      <c r="K68" s="84"/>
    </row>
    <row r="69" spans="1:11" x14ac:dyDescent="0.2">
      <c r="A69" s="84"/>
      <c r="B69" s="84"/>
      <c r="C69" s="84"/>
      <c r="D69" s="84"/>
      <c r="E69" s="84"/>
      <c r="F69" s="84"/>
      <c r="G69" s="84"/>
      <c r="H69" s="84"/>
      <c r="I69" s="84"/>
      <c r="J69" s="84"/>
      <c r="K69" s="84"/>
    </row>
    <row r="70" spans="1:11" x14ac:dyDescent="0.2">
      <c r="A70" s="84"/>
      <c r="B70" s="84"/>
      <c r="C70" s="84"/>
      <c r="D70" s="84"/>
      <c r="E70" s="84"/>
      <c r="F70" s="84"/>
      <c r="G70" s="84"/>
      <c r="H70" s="84"/>
      <c r="I70" s="84"/>
      <c r="J70" s="84"/>
      <c r="K70" s="84"/>
    </row>
    <row r="71" spans="1:11" x14ac:dyDescent="0.2">
      <c r="A71" s="84"/>
      <c r="B71" s="84"/>
      <c r="C71" s="84"/>
      <c r="D71" s="84"/>
      <c r="E71" s="84"/>
      <c r="F71" s="84"/>
      <c r="G71" s="84"/>
      <c r="H71" s="84"/>
      <c r="I71" s="84"/>
      <c r="J71" s="84"/>
      <c r="K71" s="84"/>
    </row>
    <row r="72" spans="1:11" x14ac:dyDescent="0.2">
      <c r="A72" s="84"/>
      <c r="B72" s="84"/>
      <c r="C72" s="84"/>
      <c r="D72" s="84"/>
      <c r="E72" s="84"/>
      <c r="F72" s="84"/>
      <c r="G72" s="84"/>
      <c r="H72" s="84"/>
      <c r="I72" s="84"/>
      <c r="J72" s="84"/>
      <c r="K72" s="84"/>
    </row>
    <row r="73" spans="1:11" x14ac:dyDescent="0.2">
      <c r="A73" s="84"/>
      <c r="B73" s="84"/>
      <c r="C73" s="84"/>
      <c r="D73" s="84"/>
      <c r="E73" s="84"/>
      <c r="F73" s="84"/>
      <c r="G73" s="84"/>
      <c r="H73" s="84"/>
      <c r="I73" s="84"/>
      <c r="J73" s="84"/>
      <c r="K73" s="84"/>
    </row>
    <row r="74" spans="1:11" x14ac:dyDescent="0.2">
      <c r="A74" s="84"/>
      <c r="B74" s="84"/>
      <c r="C74" s="84"/>
      <c r="D74" s="84"/>
      <c r="E74" s="84"/>
      <c r="F74" s="84"/>
      <c r="G74" s="84"/>
      <c r="H74" s="84"/>
      <c r="I74" s="84"/>
      <c r="J74" s="84"/>
      <c r="K74" s="84"/>
    </row>
    <row r="75" spans="1:11" x14ac:dyDescent="0.2">
      <c r="A75" s="84"/>
      <c r="B75" s="84"/>
      <c r="C75" s="84"/>
      <c r="D75" s="84"/>
      <c r="E75" s="84"/>
      <c r="F75" s="84"/>
      <c r="G75" s="84"/>
      <c r="H75" s="84"/>
      <c r="I75" s="84"/>
      <c r="J75" s="84"/>
      <c r="K75" s="84"/>
    </row>
    <row r="76" spans="1:11" x14ac:dyDescent="0.2">
      <c r="A76" s="84"/>
      <c r="B76" s="84"/>
      <c r="C76" s="84"/>
      <c r="D76" s="84"/>
      <c r="E76" s="84"/>
      <c r="F76" s="84"/>
      <c r="G76" s="84"/>
      <c r="H76" s="84"/>
      <c r="I76" s="84"/>
      <c r="J76" s="84"/>
      <c r="K76" s="84"/>
    </row>
    <row r="77" spans="1:11" x14ac:dyDescent="0.2">
      <c r="A77" s="84"/>
      <c r="B77" s="84"/>
      <c r="C77" s="84"/>
      <c r="D77" s="84"/>
      <c r="E77" s="84"/>
      <c r="F77" s="84"/>
      <c r="G77" s="84"/>
      <c r="H77" s="84"/>
      <c r="I77" s="84"/>
      <c r="J77" s="84"/>
      <c r="K77" s="84"/>
    </row>
    <row r="78" spans="1:11" x14ac:dyDescent="0.2">
      <c r="A78" s="84"/>
      <c r="B78" s="84"/>
      <c r="C78" s="84"/>
      <c r="D78" s="84"/>
      <c r="E78" s="84"/>
      <c r="F78" s="84"/>
      <c r="G78" s="84"/>
      <c r="H78" s="84"/>
      <c r="I78" s="84"/>
      <c r="J78" s="84"/>
      <c r="K78" s="84"/>
    </row>
    <row r="79" spans="1:11" x14ac:dyDescent="0.2">
      <c r="A79" s="84"/>
      <c r="B79" s="84"/>
      <c r="C79" s="84"/>
      <c r="D79" s="84"/>
      <c r="E79" s="84"/>
      <c r="F79" s="84"/>
      <c r="G79" s="84"/>
      <c r="H79" s="84"/>
      <c r="I79" s="84"/>
      <c r="J79" s="84"/>
      <c r="K79" s="84"/>
    </row>
    <row r="80" spans="1:11" x14ac:dyDescent="0.2">
      <c r="A80" s="84"/>
      <c r="B80" s="84"/>
      <c r="C80" s="84"/>
      <c r="D80" s="84"/>
      <c r="E80" s="84"/>
      <c r="F80" s="84"/>
      <c r="G80" s="84"/>
      <c r="H80" s="84"/>
      <c r="I80" s="84"/>
      <c r="J80" s="84"/>
      <c r="K80" s="84"/>
    </row>
    <row r="81" spans="1:11" x14ac:dyDescent="0.2">
      <c r="A81" s="84"/>
      <c r="B81" s="84"/>
      <c r="C81" s="84"/>
      <c r="D81" s="84"/>
      <c r="E81" s="84"/>
      <c r="F81" s="84"/>
      <c r="G81" s="84"/>
      <c r="H81" s="84"/>
      <c r="I81" s="84"/>
      <c r="J81" s="84"/>
      <c r="K81" s="84"/>
    </row>
    <row r="82" spans="1:11" x14ac:dyDescent="0.2">
      <c r="A82" s="84"/>
      <c r="B82" s="84"/>
      <c r="C82" s="84"/>
      <c r="D82" s="84"/>
      <c r="E82" s="84"/>
      <c r="F82" s="84"/>
      <c r="G82" s="84"/>
      <c r="H82" s="84"/>
      <c r="I82" s="84"/>
      <c r="J82" s="84"/>
      <c r="K82" s="84"/>
    </row>
    <row r="83" spans="1:11" x14ac:dyDescent="0.2">
      <c r="A83" s="84"/>
      <c r="B83" s="84"/>
      <c r="C83" s="84"/>
      <c r="D83" s="84"/>
      <c r="E83" s="84"/>
      <c r="F83" s="84"/>
      <c r="G83" s="84"/>
      <c r="H83" s="84"/>
      <c r="I83" s="84"/>
      <c r="J83" s="84"/>
      <c r="K83" s="84"/>
    </row>
    <row r="84" spans="1:11" x14ac:dyDescent="0.2">
      <c r="A84" s="84"/>
      <c r="B84" s="84"/>
      <c r="C84" s="84"/>
      <c r="D84" s="84"/>
      <c r="E84" s="84"/>
      <c r="F84" s="84"/>
      <c r="G84" s="84"/>
      <c r="H84" s="84"/>
      <c r="I84" s="84"/>
      <c r="J84" s="84"/>
      <c r="K84" s="84"/>
    </row>
    <row r="85" spans="1:11" x14ac:dyDescent="0.2">
      <c r="A85" s="84"/>
      <c r="B85" s="84"/>
      <c r="C85" s="84"/>
      <c r="D85" s="84"/>
      <c r="E85" s="84"/>
      <c r="F85" s="84"/>
      <c r="G85" s="84"/>
      <c r="H85" s="84"/>
      <c r="I85" s="84"/>
      <c r="J85" s="84"/>
      <c r="K85" s="84"/>
    </row>
    <row r="86" spans="1:11" x14ac:dyDescent="0.2">
      <c r="A86" s="84"/>
      <c r="B86" s="84"/>
      <c r="C86" s="84"/>
      <c r="D86" s="84"/>
      <c r="E86" s="84"/>
      <c r="F86" s="84"/>
      <c r="G86" s="84"/>
      <c r="H86" s="84"/>
      <c r="I86" s="84"/>
      <c r="J86" s="84"/>
      <c r="K86" s="84"/>
    </row>
    <row r="87" spans="1:11" x14ac:dyDescent="0.2">
      <c r="A87" s="84"/>
      <c r="B87" s="84"/>
      <c r="C87" s="84"/>
      <c r="D87" s="84"/>
      <c r="E87" s="84"/>
      <c r="F87" s="84"/>
      <c r="G87" s="84"/>
      <c r="H87" s="84"/>
      <c r="I87" s="84"/>
      <c r="J87" s="84"/>
      <c r="K87" s="84"/>
    </row>
    <row r="88" spans="1:11" x14ac:dyDescent="0.2">
      <c r="A88" s="84"/>
      <c r="B88" s="84"/>
      <c r="C88" s="84"/>
      <c r="D88" s="84"/>
      <c r="E88" s="84"/>
      <c r="F88" s="84"/>
      <c r="G88" s="84"/>
      <c r="H88" s="84"/>
      <c r="I88" s="84"/>
      <c r="J88" s="84"/>
      <c r="K88" s="84"/>
    </row>
    <row r="89" spans="1:11" x14ac:dyDescent="0.2">
      <c r="A89" s="84"/>
      <c r="B89" s="84"/>
      <c r="C89" s="84"/>
      <c r="D89" s="84"/>
      <c r="E89" s="84"/>
      <c r="F89" s="84"/>
      <c r="G89" s="84"/>
      <c r="H89" s="84"/>
      <c r="I89" s="84"/>
      <c r="J89" s="84"/>
      <c r="K89" s="84"/>
    </row>
    <row r="90" spans="1:11" x14ac:dyDescent="0.2">
      <c r="A90" s="84"/>
      <c r="B90" s="84"/>
      <c r="C90" s="84"/>
      <c r="D90" s="84"/>
      <c r="E90" s="84"/>
      <c r="F90" s="84"/>
      <c r="G90" s="84"/>
      <c r="H90" s="84"/>
      <c r="I90" s="84"/>
      <c r="J90" s="84"/>
      <c r="K90" s="84"/>
    </row>
    <row r="91" spans="1:11" x14ac:dyDescent="0.2">
      <c r="A91" s="84"/>
      <c r="B91" s="84"/>
      <c r="C91" s="84"/>
      <c r="D91" s="84"/>
      <c r="E91" s="84"/>
      <c r="F91" s="84"/>
      <c r="G91" s="84"/>
      <c r="H91" s="84"/>
      <c r="I91" s="84"/>
      <c r="J91" s="84"/>
      <c r="K91" s="84"/>
    </row>
    <row r="92" spans="1:11" x14ac:dyDescent="0.2">
      <c r="A92" s="84"/>
      <c r="B92" s="84"/>
      <c r="C92" s="84"/>
      <c r="D92" s="84"/>
      <c r="E92" s="84"/>
      <c r="F92" s="84"/>
      <c r="G92" s="84"/>
      <c r="H92" s="84"/>
      <c r="I92" s="84"/>
      <c r="J92" s="84"/>
      <c r="K92" s="84"/>
    </row>
  </sheetData>
  <mergeCells count="17">
    <mergeCell ref="A47:K48"/>
    <mergeCell ref="A50:K52"/>
    <mergeCell ref="A62:K92"/>
    <mergeCell ref="A1:K1"/>
    <mergeCell ref="A19:K20"/>
    <mergeCell ref="A16:K17"/>
    <mergeCell ref="A22:K23"/>
    <mergeCell ref="A38:K39"/>
    <mergeCell ref="A25:K26"/>
    <mergeCell ref="A30:K31"/>
    <mergeCell ref="A15:K15"/>
    <mergeCell ref="A34:K36"/>
    <mergeCell ref="A33:K33"/>
    <mergeCell ref="A4:K12"/>
    <mergeCell ref="A53:K56"/>
    <mergeCell ref="A58:K60"/>
    <mergeCell ref="A42:K46"/>
  </mergeCells>
  <phoneticPr fontId="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oToModel">
                <anchor moveWithCells="1" sizeWithCells="1">
                  <from>
                    <xdr:col>11</xdr:col>
                    <xdr:colOff>215900</xdr:colOff>
                    <xdr:row>2</xdr:row>
                    <xdr:rowOff>25400</xdr:rowOff>
                  </from>
                  <to>
                    <xdr:col>13</xdr:col>
                    <xdr:colOff>254000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14AA8-ECFF-4840-8192-A8F755F78767}">
  <sheetPr codeName="Sheet3"/>
  <dimension ref="A1:CS130"/>
  <sheetViews>
    <sheetView showGridLines="0" tabSelected="1" zoomScaleNormal="100" workbookViewId="0">
      <selection activeCell="A12" sqref="A12"/>
    </sheetView>
  </sheetViews>
  <sheetFormatPr baseColWidth="10" defaultColWidth="8.83203125" defaultRowHeight="15" x14ac:dyDescent="0.2"/>
  <cols>
    <col min="1" max="1" width="45.1640625" bestFit="1" customWidth="1"/>
    <col min="2" max="2" width="24.1640625" bestFit="1" customWidth="1"/>
    <col min="4" max="4" width="15.6640625" customWidth="1"/>
    <col min="5" max="5" width="10.6640625" style="55" bestFit="1" customWidth="1"/>
    <col min="7" max="7" width="10.5" customWidth="1"/>
    <col min="8" max="8" width="11.5" bestFit="1" customWidth="1"/>
    <col min="9" max="9" width="10.5" bestFit="1" customWidth="1"/>
    <col min="15" max="15" width="11.1640625" bestFit="1" customWidth="1"/>
    <col min="16" max="16" width="10.1640625" bestFit="1" customWidth="1"/>
    <col min="27" max="27" width="24.6640625" customWidth="1"/>
    <col min="28" max="28" width="31.5" bestFit="1" customWidth="1"/>
    <col min="29" max="29" width="6.1640625" customWidth="1"/>
    <col min="30" max="30" width="4.5" customWidth="1"/>
    <col min="32" max="32" width="11.5" bestFit="1" customWidth="1"/>
    <col min="33" max="33" width="8.6640625" customWidth="1"/>
    <col min="35" max="35" width="9.83203125" bestFit="1" customWidth="1"/>
    <col min="36" max="36" width="9.1640625" customWidth="1"/>
    <col min="37" max="37" width="38.5" customWidth="1"/>
    <col min="38" max="38" width="20" customWidth="1"/>
    <col min="40" max="40" width="10.5" bestFit="1" customWidth="1"/>
    <col min="41" max="44" width="8.5" bestFit="1" customWidth="1"/>
    <col min="45" max="49" width="7.5" bestFit="1" customWidth="1"/>
    <col min="50" max="52" width="8.5" bestFit="1" customWidth="1"/>
    <col min="54" max="54" width="38.83203125" bestFit="1" customWidth="1"/>
    <col min="56" max="56" width="2.6640625" customWidth="1"/>
    <col min="57" max="57" width="51.1640625" bestFit="1" customWidth="1"/>
    <col min="59" max="59" width="33" bestFit="1" customWidth="1"/>
    <col min="60" max="60" width="10.5" bestFit="1" customWidth="1"/>
    <col min="61" max="61" width="8.83203125" customWidth="1"/>
    <col min="75" max="75" width="10.1640625" bestFit="1" customWidth="1"/>
    <col min="76" max="76" width="13" bestFit="1" customWidth="1"/>
    <col min="77" max="77" width="10" bestFit="1" customWidth="1"/>
    <col min="78" max="78" width="8.83203125" customWidth="1"/>
    <col min="79" max="79" width="10" customWidth="1"/>
    <col min="82" max="82" width="9.83203125" bestFit="1" customWidth="1"/>
    <col min="83" max="83" width="14.5" bestFit="1" customWidth="1"/>
    <col min="84" max="84" width="9.5" bestFit="1" customWidth="1"/>
    <col min="85" max="85" width="10.1640625" bestFit="1" customWidth="1"/>
    <col min="87" max="87" width="7.6640625" bestFit="1" customWidth="1"/>
    <col min="88" max="88" width="10.1640625" bestFit="1" customWidth="1"/>
    <col min="90" max="90" width="7.6640625" bestFit="1" customWidth="1"/>
    <col min="91" max="91" width="9.5" bestFit="1" customWidth="1"/>
    <col min="93" max="93" width="41.6640625" bestFit="1" customWidth="1"/>
    <col min="94" max="94" width="20.33203125" bestFit="1" customWidth="1"/>
    <col min="96" max="96" width="41.6640625" bestFit="1" customWidth="1"/>
    <col min="97" max="97" width="20.33203125" bestFit="1" customWidth="1"/>
  </cols>
  <sheetData>
    <row r="1" spans="1:97" ht="14.5" customHeight="1" x14ac:dyDescent="0.2">
      <c r="A1" s="122" t="s">
        <v>0</v>
      </c>
      <c r="B1" s="122"/>
      <c r="AA1" s="110" t="s">
        <v>19</v>
      </c>
      <c r="AB1" s="110"/>
      <c r="AC1" s="110"/>
      <c r="AE1" s="112" t="s">
        <v>38</v>
      </c>
      <c r="AF1" s="112"/>
      <c r="AH1" s="113" t="s">
        <v>39</v>
      </c>
      <c r="AI1" s="113"/>
      <c r="AK1" s="110" t="s">
        <v>42</v>
      </c>
      <c r="AL1" s="110"/>
      <c r="AN1" t="s">
        <v>98</v>
      </c>
      <c r="AO1" t="s">
        <v>99</v>
      </c>
      <c r="AP1" t="s">
        <v>100</v>
      </c>
      <c r="AQ1" t="s">
        <v>101</v>
      </c>
      <c r="AR1" t="s">
        <v>102</v>
      </c>
      <c r="AS1" t="s">
        <v>103</v>
      </c>
      <c r="AT1" t="s">
        <v>104</v>
      </c>
      <c r="AU1" t="s">
        <v>105</v>
      </c>
      <c r="AV1" t="s">
        <v>106</v>
      </c>
      <c r="AW1" t="s">
        <v>107</v>
      </c>
      <c r="AX1" t="s">
        <v>108</v>
      </c>
      <c r="AY1" t="s">
        <v>109</v>
      </c>
      <c r="AZ1" t="s">
        <v>110</v>
      </c>
      <c r="CO1" s="107" t="s">
        <v>178</v>
      </c>
      <c r="CP1" s="108"/>
      <c r="CR1" s="107" t="s">
        <v>179</v>
      </c>
      <c r="CS1" s="108"/>
    </row>
    <row r="2" spans="1:97" ht="14.5" customHeight="1" x14ac:dyDescent="0.2">
      <c r="A2" s="122"/>
      <c r="B2" s="122"/>
      <c r="AA2" s="114" t="s">
        <v>23</v>
      </c>
      <c r="AB2" s="7" t="s">
        <v>20</v>
      </c>
      <c r="AC2" s="7">
        <v>1</v>
      </c>
      <c r="AE2" s="112"/>
      <c r="AF2" s="112"/>
      <c r="AH2" s="113"/>
      <c r="AI2" s="113"/>
      <c r="AK2" s="2" t="s">
        <v>43</v>
      </c>
      <c r="AL2" s="11">
        <f>VLOOKUP(B8,AB2:AC3,2,2)</f>
        <v>2</v>
      </c>
      <c r="AN2" s="28">
        <v>44287</v>
      </c>
      <c r="AO2">
        <v>0.02</v>
      </c>
      <c r="AP2">
        <v>0.02</v>
      </c>
      <c r="AQ2">
        <v>0.02</v>
      </c>
      <c r="AR2">
        <v>0.04</v>
      </c>
      <c r="AS2">
        <v>0.06</v>
      </c>
      <c r="AT2">
        <v>0.17</v>
      </c>
      <c r="AU2">
        <v>0.35</v>
      </c>
      <c r="AV2">
        <v>0.9</v>
      </c>
      <c r="AW2">
        <v>1.37</v>
      </c>
      <c r="AX2">
        <v>1.69</v>
      </c>
      <c r="AY2">
        <v>2.2400000000000002</v>
      </c>
      <c r="AZ2">
        <v>2.34</v>
      </c>
      <c r="BB2" s="102" t="s">
        <v>128</v>
      </c>
      <c r="BC2" s="103"/>
      <c r="BD2" s="103"/>
      <c r="BE2" s="104"/>
      <c r="BF2" s="32"/>
      <c r="CE2" s="101" t="s">
        <v>127</v>
      </c>
      <c r="CF2" s="101"/>
      <c r="CG2" s="101"/>
      <c r="CH2" s="101"/>
      <c r="CI2" s="101"/>
      <c r="CJ2" s="101"/>
      <c r="CK2" s="101"/>
      <c r="CL2" s="101"/>
      <c r="CM2" s="101"/>
      <c r="CO2" s="108"/>
      <c r="CP2" s="108"/>
      <c r="CR2" s="108"/>
      <c r="CS2" s="108"/>
    </row>
    <row r="3" spans="1:97" x14ac:dyDescent="0.2">
      <c r="AA3" s="114"/>
      <c r="AB3" s="7" t="s">
        <v>22</v>
      </c>
      <c r="AC3" s="7">
        <v>2</v>
      </c>
      <c r="AE3" s="112"/>
      <c r="AF3" s="112"/>
      <c r="AH3" s="113"/>
      <c r="AI3" s="113"/>
      <c r="AK3" s="2" t="s">
        <v>44</v>
      </c>
      <c r="AL3" s="11">
        <f>$AB$5/$AL$2</f>
        <v>6</v>
      </c>
      <c r="AN3" s="28">
        <v>44288</v>
      </c>
      <c r="AO3">
        <v>0.02</v>
      </c>
      <c r="AP3">
        <v>0.02</v>
      </c>
      <c r="AQ3">
        <v>0.02</v>
      </c>
      <c r="AR3">
        <v>0.04</v>
      </c>
      <c r="AS3">
        <v>7.0000000000000007E-2</v>
      </c>
      <c r="AT3">
        <v>0.19</v>
      </c>
      <c r="AU3">
        <v>0.39</v>
      </c>
      <c r="AV3">
        <v>0.97</v>
      </c>
      <c r="AW3">
        <v>1.42</v>
      </c>
      <c r="AX3">
        <v>1.72</v>
      </c>
      <c r="AY3">
        <v>2.27</v>
      </c>
      <c r="AZ3">
        <v>2.35</v>
      </c>
      <c r="BB3" s="54" t="s">
        <v>112</v>
      </c>
      <c r="BC3" s="54">
        <f>COUNT(AN:AN)</f>
        <v>12</v>
      </c>
      <c r="BD3" s="31"/>
      <c r="BE3" s="54" t="s">
        <v>133</v>
      </c>
      <c r="BG3" s="54"/>
      <c r="BH3" s="54" t="str">
        <f>Table_0__2[[#Headers],[Date]]</f>
        <v>Date</v>
      </c>
      <c r="BI3" s="29">
        <f>1/12</f>
        <v>8.3333333333333329E-2</v>
      </c>
      <c r="BJ3" s="29">
        <f>2/12</f>
        <v>0.16666666666666666</v>
      </c>
      <c r="BK3" s="54">
        <f>3/12</f>
        <v>0.25</v>
      </c>
      <c r="BL3" s="54">
        <f>6/12</f>
        <v>0.5</v>
      </c>
      <c r="BM3" s="54">
        <f>1</f>
        <v>1</v>
      </c>
      <c r="BN3" s="54">
        <f>2</f>
        <v>2</v>
      </c>
      <c r="BO3" s="54">
        <f>3</f>
        <v>3</v>
      </c>
      <c r="BP3" s="54">
        <f>5</f>
        <v>5</v>
      </c>
      <c r="BQ3" s="54">
        <f>7</f>
        <v>7</v>
      </c>
      <c r="BR3" s="54">
        <f>10</f>
        <v>10</v>
      </c>
      <c r="BS3" s="54">
        <f>20</f>
        <v>20</v>
      </c>
      <c r="BT3" s="54">
        <f>30</f>
        <v>30</v>
      </c>
      <c r="BW3" s="101" t="s">
        <v>113</v>
      </c>
      <c r="BX3" s="101"/>
      <c r="BY3" s="101"/>
      <c r="BZ3" s="101"/>
      <c r="CA3" s="101"/>
      <c r="CB3" s="101"/>
      <c r="CC3" s="101"/>
      <c r="CE3" s="11"/>
      <c r="CF3" s="72" t="s">
        <v>120</v>
      </c>
      <c r="CG3" s="72" t="s">
        <v>34</v>
      </c>
      <c r="CH3" s="72" t="s">
        <v>121</v>
      </c>
      <c r="CI3" s="72" t="s">
        <v>122</v>
      </c>
      <c r="CJ3" s="72" t="s">
        <v>123</v>
      </c>
      <c r="CK3" s="72" t="s">
        <v>124</v>
      </c>
      <c r="CL3" s="72" t="s">
        <v>125</v>
      </c>
      <c r="CM3" s="72" t="s">
        <v>126</v>
      </c>
    </row>
    <row r="4" spans="1:97" x14ac:dyDescent="0.2">
      <c r="A4" s="109" t="s">
        <v>1</v>
      </c>
      <c r="B4" s="109"/>
      <c r="D4" s="110" t="s">
        <v>65</v>
      </c>
      <c r="E4" s="110"/>
      <c r="G4" s="110" t="s">
        <v>82</v>
      </c>
      <c r="H4" s="110"/>
      <c r="I4" s="110"/>
      <c r="K4" s="109" t="s">
        <v>164</v>
      </c>
      <c r="L4" s="109"/>
      <c r="N4" s="110" t="s">
        <v>190</v>
      </c>
      <c r="O4" s="110"/>
      <c r="P4" s="110"/>
      <c r="AE4" s="112"/>
      <c r="AF4" s="112"/>
      <c r="AH4" s="9" t="s">
        <v>40</v>
      </c>
      <c r="AI4" s="9" t="s">
        <v>41</v>
      </c>
      <c r="AK4" s="2" t="s">
        <v>45</v>
      </c>
      <c r="AL4" s="19">
        <f>$B$9*$B$7%/$AL$2</f>
        <v>40</v>
      </c>
      <c r="AN4" s="28">
        <v>44291</v>
      </c>
      <c r="AO4">
        <v>0.03</v>
      </c>
      <c r="AP4">
        <v>0.02</v>
      </c>
      <c r="AQ4">
        <v>0.03</v>
      </c>
      <c r="AR4">
        <v>0.04</v>
      </c>
      <c r="AS4">
        <v>0.06</v>
      </c>
      <c r="AT4">
        <v>0.17</v>
      </c>
      <c r="AU4">
        <v>0.37</v>
      </c>
      <c r="AV4">
        <v>0.94</v>
      </c>
      <c r="AW4">
        <v>1.4</v>
      </c>
      <c r="AX4">
        <v>1.73</v>
      </c>
      <c r="AY4">
        <v>2.2799999999999998</v>
      </c>
      <c r="AZ4">
        <v>2.36</v>
      </c>
      <c r="BB4" s="54" t="s">
        <v>129</v>
      </c>
      <c r="BC4" s="54" t="str">
        <f>B10</f>
        <v>Corp/AA</v>
      </c>
      <c r="BD4" s="31"/>
      <c r="BE4" s="54" t="str">
        <f ca="1">"Treasury Yield Curve "&amp;TEXT(BH4,"mm/dd/yyyy")</f>
        <v>Treasury Yield Curve 04/16/2021</v>
      </c>
      <c r="BG4" s="53" t="s">
        <v>134</v>
      </c>
      <c r="BH4" s="33">
        <f ca="1">OFFSET(Table_0__2[[#Headers],[Date]],$BC$3,0)</f>
        <v>44302</v>
      </c>
      <c r="BI4" s="38">
        <f ca="1">OFFSET(Table_0__2[[#Headers],[1 mo]],$BC$3,0)/100</f>
        <v>2.0000000000000001E-4</v>
      </c>
      <c r="BJ4" s="38">
        <f ca="1">OFFSET(Table_0__2[[#Headers],[2 mo]],$BC$3,0)/100</f>
        <v>2.0000000000000001E-4</v>
      </c>
      <c r="BK4" s="38">
        <f ca="1">OFFSET(Table_0__2[[#Headers],[3 mo]],$BC$3,0)/100</f>
        <v>2.0000000000000001E-4</v>
      </c>
      <c r="BL4" s="38">
        <f ca="1">OFFSET(Table_0__2[[#Headers],[6 mo]],$BC$3,0)/100</f>
        <v>4.0000000000000002E-4</v>
      </c>
      <c r="BM4" s="38">
        <f ca="1">OFFSET(Table_0__2[[#Headers],[1 yr]],$BC$3,0)/100</f>
        <v>5.9999999999999995E-4</v>
      </c>
      <c r="BN4" s="38">
        <f ca="1">OFFSET(Table_0__2[[#Headers],[2 yr]],$BC$3,0)/100</f>
        <v>1.6000000000000001E-3</v>
      </c>
      <c r="BO4" s="38">
        <f ca="1">OFFSET(Table_0__2[[#Headers],[3 yr]],$BC$3,0)/100</f>
        <v>3.4000000000000002E-3</v>
      </c>
      <c r="BP4" s="38">
        <f ca="1">OFFSET(Table_0__2[[#Headers],[5 yr]],$BC$3,0)/100</f>
        <v>8.3999999999999995E-3</v>
      </c>
      <c r="BQ4" s="38">
        <f ca="1">OFFSET(Table_0__2[[#Headers],[7 yr]],$BC$3,0)/100</f>
        <v>1.26E-2</v>
      </c>
      <c r="BR4" s="38">
        <f ca="1">OFFSET(Table_0__2[[#Headers],[10 yr]],$BC$3,0)/100</f>
        <v>1.5900000000000001E-2</v>
      </c>
      <c r="BS4" s="38">
        <f ca="1">OFFSET(Table_0__2[[#Headers],[20 yr]],$BC$3,0)/100</f>
        <v>2.1499999999999998E-2</v>
      </c>
      <c r="BT4" s="38">
        <f ca="1">OFFSET(Table_0__2[[#Headers],[30 yr]],$BC$3,0)/100</f>
        <v>2.2599999999999999E-2</v>
      </c>
      <c r="BW4" s="11"/>
      <c r="BX4" s="11" t="s">
        <v>114</v>
      </c>
      <c r="BY4" s="11" t="s">
        <v>115</v>
      </c>
      <c r="BZ4" s="11" t="s">
        <v>116</v>
      </c>
      <c r="CA4" s="11" t="s">
        <v>117</v>
      </c>
      <c r="CB4" s="11" t="s">
        <v>118</v>
      </c>
      <c r="CC4" s="11" t="s">
        <v>119</v>
      </c>
      <c r="CE4" s="11" t="s">
        <v>127</v>
      </c>
      <c r="CF4" s="34">
        <f>CA5-CA5</f>
        <v>0</v>
      </c>
      <c r="CG4" s="34">
        <f>VLOOKUP(CG3,$BW$4:$CC$12,5,FALSE)-$CA$5</f>
        <v>3.7999999999999996E-3</v>
      </c>
      <c r="CH4" s="34">
        <f t="shared" ref="CH4:CM4" si="0">VLOOKUP(CH3,$BW$4:$CC$12,5,FALSE)-$CA$5</f>
        <v>6.5999999999999982E-3</v>
      </c>
      <c r="CI4" s="34">
        <f t="shared" si="0"/>
        <v>8.0999999999999996E-3</v>
      </c>
      <c r="CJ4" s="34">
        <f t="shared" si="0"/>
        <v>1.1199999999999998E-2</v>
      </c>
      <c r="CK4" s="34">
        <f t="shared" si="0"/>
        <v>2.8200000000000003E-2</v>
      </c>
      <c r="CL4" s="34">
        <f t="shared" si="0"/>
        <v>4.8300000000000003E-2</v>
      </c>
      <c r="CM4" s="34">
        <f t="shared" si="0"/>
        <v>8.3099999999999993E-2</v>
      </c>
      <c r="CO4" s="109" t="s">
        <v>1</v>
      </c>
      <c r="CP4" s="109"/>
      <c r="CR4" s="109" t="s">
        <v>1</v>
      </c>
      <c r="CS4" s="109"/>
    </row>
    <row r="5" spans="1:97" ht="16" x14ac:dyDescent="0.2">
      <c r="A5" s="1" t="s">
        <v>2</v>
      </c>
      <c r="B5" s="4" t="s">
        <v>177</v>
      </c>
      <c r="D5" s="2" t="s">
        <v>66</v>
      </c>
      <c r="E5" s="62">
        <f>AL14</f>
        <v>1083.75</v>
      </c>
      <c r="G5" s="9" t="s">
        <v>83</v>
      </c>
      <c r="H5" s="9" t="s">
        <v>84</v>
      </c>
      <c r="I5" s="9" t="s">
        <v>85</v>
      </c>
      <c r="K5" s="116" t="str">
        <f ca="1">IF(E7&gt;E9, "Buy", IF(E7=E9, "Hold", "Sell"))</f>
        <v>Buy</v>
      </c>
      <c r="L5" s="116"/>
      <c r="N5" s="9" t="s">
        <v>83</v>
      </c>
      <c r="O5" s="9" t="s">
        <v>84</v>
      </c>
      <c r="P5" s="9" t="s">
        <v>85</v>
      </c>
      <c r="AA5" s="6" t="s">
        <v>24</v>
      </c>
      <c r="AB5" s="7">
        <v>12</v>
      </c>
      <c r="AE5" s="7">
        <v>1</v>
      </c>
      <c r="AF5" s="14">
        <f>IF(EDATE(Maturity_Date,-($AE5-1)*$AL$3)&lt;=$B$17,"",EDATE(Maturity_Date,-($AE5-1)*$AL$3))</f>
        <v>48579</v>
      </c>
      <c r="AH5" s="11">
        <f>IF(($AL$7-ROWS($AH$5:AH5)+1)&gt;=0,$AL$7-ROWS($AH$5:AH5)+1,"")</f>
        <v>38</v>
      </c>
      <c r="AI5" s="24">
        <f ca="1">IF($AH5="","",-PV($AL$17,$AH5,$AL$4,$B$9))</f>
        <v>1084.3209029386546</v>
      </c>
      <c r="AN5" s="28">
        <v>44292</v>
      </c>
      <c r="AO5">
        <v>0.02</v>
      </c>
      <c r="AP5">
        <v>0.02</v>
      </c>
      <c r="AQ5">
        <v>0.02</v>
      </c>
      <c r="AR5">
        <v>0.04</v>
      </c>
      <c r="AS5">
        <v>0.06</v>
      </c>
      <c r="AT5">
        <v>0.16</v>
      </c>
      <c r="AU5">
        <v>0.35</v>
      </c>
      <c r="AV5">
        <v>0.88</v>
      </c>
      <c r="AW5">
        <v>1.34</v>
      </c>
      <c r="AX5">
        <v>1.67</v>
      </c>
      <c r="AY5">
        <v>2.2400000000000002</v>
      </c>
      <c r="AZ5">
        <v>2.3199999999999998</v>
      </c>
      <c r="BB5" s="54" t="s">
        <v>127</v>
      </c>
      <c r="BC5" s="38">
        <f>HLOOKUP(BC4,CF3:CM4,2,FALSE)</f>
        <v>6.5999999999999982E-3</v>
      </c>
      <c r="BD5" s="31"/>
      <c r="BE5" s="54"/>
      <c r="BG5" s="53" t="s">
        <v>135</v>
      </c>
      <c r="BH5" s="33">
        <f ca="1">BH4</f>
        <v>44302</v>
      </c>
      <c r="BI5" s="34">
        <f ca="1">BI4+$BC$5</f>
        <v>6.7999999999999979E-3</v>
      </c>
      <c r="BJ5" s="34">
        <f ca="1">BJ4+$BC$5</f>
        <v>6.7999999999999979E-3</v>
      </c>
      <c r="BK5" s="34">
        <f t="shared" ref="BK5:BT5" ca="1" si="1">BK4+$BC$5</f>
        <v>6.7999999999999979E-3</v>
      </c>
      <c r="BL5" s="34">
        <f t="shared" ca="1" si="1"/>
        <v>6.9999999999999984E-3</v>
      </c>
      <c r="BM5" s="34">
        <f t="shared" ca="1" si="1"/>
        <v>7.1999999999999981E-3</v>
      </c>
      <c r="BN5" s="34">
        <f t="shared" ca="1" si="1"/>
        <v>8.199999999999999E-3</v>
      </c>
      <c r="BO5" s="34">
        <f t="shared" ca="1" si="1"/>
        <v>9.9999999999999985E-3</v>
      </c>
      <c r="BP5" s="34">
        <f t="shared" ca="1" si="1"/>
        <v>1.4999999999999998E-2</v>
      </c>
      <c r="BQ5" s="34">
        <f t="shared" ca="1" si="1"/>
        <v>1.9199999999999998E-2</v>
      </c>
      <c r="BR5" s="34">
        <f t="shared" ca="1" si="1"/>
        <v>2.2499999999999999E-2</v>
      </c>
      <c r="BS5" s="34">
        <f t="shared" ca="1" si="1"/>
        <v>2.8099999999999997E-2</v>
      </c>
      <c r="BT5" s="34">
        <f t="shared" ca="1" si="1"/>
        <v>2.9199999999999997E-2</v>
      </c>
      <c r="BW5" s="11" t="s">
        <v>120</v>
      </c>
      <c r="BX5" s="33">
        <v>44288</v>
      </c>
      <c r="BY5" s="34">
        <v>2.0000000000000001E-4</v>
      </c>
      <c r="BZ5" s="34">
        <v>6.9999999999999999E-4</v>
      </c>
      <c r="CA5" s="34">
        <v>9.7000000000000003E-3</v>
      </c>
      <c r="CB5" s="34">
        <v>1.72E-2</v>
      </c>
      <c r="CC5" s="34">
        <v>2.35E-2</v>
      </c>
      <c r="CO5" s="1" t="s">
        <v>2</v>
      </c>
      <c r="CP5" s="4" t="s">
        <v>177</v>
      </c>
      <c r="CR5" s="1" t="s">
        <v>2</v>
      </c>
      <c r="CS5" s="4" t="s">
        <v>177</v>
      </c>
    </row>
    <row r="6" spans="1:97" x14ac:dyDescent="0.2">
      <c r="A6" s="2" t="s">
        <v>3</v>
      </c>
      <c r="B6" s="12">
        <v>48579</v>
      </c>
      <c r="D6" s="2" t="s">
        <v>67</v>
      </c>
      <c r="E6" s="62">
        <f>AL15</f>
        <v>1098.9986187845304</v>
      </c>
      <c r="G6" s="11">
        <v>0</v>
      </c>
      <c r="H6" s="14">
        <f>$AL$9</f>
        <v>41639</v>
      </c>
      <c r="I6" s="11"/>
      <c r="N6" s="68">
        <v>0</v>
      </c>
      <c r="O6" s="14">
        <f>AL9</f>
        <v>41639</v>
      </c>
      <c r="P6" s="68"/>
      <c r="AE6" s="7">
        <v>2</v>
      </c>
      <c r="AF6" s="14">
        <f>IF(EDATE($AF$5,-($AE6-1)*$AL$3)&lt;=$B$17,"",EDATE($AF$5,-($AE6-1)*$AL$3))</f>
        <v>48395</v>
      </c>
      <c r="AH6" s="11">
        <f>IF(($AL$7-ROWS($AH$5:AH6)+1)&gt;=0,$AL$7-ROWS($AH$5:AH6)+1,"")</f>
        <v>37</v>
      </c>
      <c r="AI6" s="24">
        <f t="shared" ref="AI6:AI69" ca="1" si="2">IF($AH6="","",-PV($AL$17,$AH6,$AL$4,$B$9))</f>
        <v>1083.2474923618156</v>
      </c>
      <c r="AK6" s="106" t="s">
        <v>46</v>
      </c>
      <c r="AL6" s="106"/>
      <c r="AN6" s="28">
        <v>44293</v>
      </c>
      <c r="AO6">
        <v>0.01</v>
      </c>
      <c r="AP6">
        <v>0.02</v>
      </c>
      <c r="AQ6">
        <v>0.02</v>
      </c>
      <c r="AR6">
        <v>0.04</v>
      </c>
      <c r="AS6">
        <v>0.06</v>
      </c>
      <c r="AT6">
        <v>0.16</v>
      </c>
      <c r="AU6">
        <v>0.34</v>
      </c>
      <c r="AV6">
        <v>0.87</v>
      </c>
      <c r="AW6">
        <v>1.34</v>
      </c>
      <c r="AX6">
        <v>1.68</v>
      </c>
      <c r="AY6">
        <v>2.2599999999999998</v>
      </c>
      <c r="AZ6">
        <v>2.35</v>
      </c>
      <c r="BB6" s="54" t="s">
        <v>131</v>
      </c>
      <c r="BC6" s="38">
        <f>B20/100</f>
        <v>2E-3</v>
      </c>
      <c r="BD6" s="31"/>
      <c r="BE6" s="54" t="str">
        <f>"Treasury Yield Curve for "&amp;BC4&amp;" on Purchase Date"</f>
        <v>Treasury Yield Curve for Corp/AA on Purchase Date</v>
      </c>
      <c r="BG6" s="53" t="s">
        <v>136</v>
      </c>
      <c r="BH6" s="14">
        <f>B17</f>
        <v>41708</v>
      </c>
      <c r="BI6" s="34">
        <f ca="1">BI5+$BC$6</f>
        <v>8.7999999999999988E-3</v>
      </c>
      <c r="BJ6" s="34">
        <f t="shared" ref="BJ6:BT6" ca="1" si="3">BJ5+$BC$6</f>
        <v>8.7999999999999988E-3</v>
      </c>
      <c r="BK6" s="34">
        <f t="shared" ca="1" si="3"/>
        <v>8.7999999999999988E-3</v>
      </c>
      <c r="BL6" s="34">
        <f t="shared" ca="1" si="3"/>
        <v>8.9999999999999976E-3</v>
      </c>
      <c r="BM6" s="34">
        <f t="shared" ca="1" si="3"/>
        <v>9.1999999999999981E-3</v>
      </c>
      <c r="BN6" s="34">
        <f t="shared" ca="1" si="3"/>
        <v>1.0199999999999999E-2</v>
      </c>
      <c r="BO6" s="34">
        <f t="shared" ca="1" si="3"/>
        <v>1.1999999999999999E-2</v>
      </c>
      <c r="BP6" s="34">
        <f t="shared" ca="1" si="3"/>
        <v>1.6999999999999998E-2</v>
      </c>
      <c r="BQ6" s="34">
        <f t="shared" ca="1" si="3"/>
        <v>2.1199999999999997E-2</v>
      </c>
      <c r="BR6" s="34">
        <f t="shared" ca="1" si="3"/>
        <v>2.4500000000000001E-2</v>
      </c>
      <c r="BS6" s="34">
        <f t="shared" ca="1" si="3"/>
        <v>3.0099999999999995E-2</v>
      </c>
      <c r="BT6" s="34">
        <f t="shared" ca="1" si="3"/>
        <v>3.1199999999999999E-2</v>
      </c>
      <c r="BW6" s="11" t="s">
        <v>34</v>
      </c>
      <c r="BX6" s="33">
        <v>44288</v>
      </c>
      <c r="BY6" s="34">
        <v>-3.3E-3</v>
      </c>
      <c r="BZ6" s="34">
        <v>-1.5E-3</v>
      </c>
      <c r="CA6" s="34">
        <v>1.35E-2</v>
      </c>
      <c r="CB6" s="34">
        <v>2.58E-2</v>
      </c>
      <c r="CC6" s="34">
        <v>3.5900000000000001E-2</v>
      </c>
      <c r="CO6" s="2" t="s">
        <v>3</v>
      </c>
      <c r="CP6" s="12">
        <v>48579</v>
      </c>
      <c r="CR6" s="2" t="s">
        <v>3</v>
      </c>
      <c r="CS6" s="12">
        <v>48579</v>
      </c>
    </row>
    <row r="7" spans="1:97" x14ac:dyDescent="0.2">
      <c r="A7" s="2" t="s">
        <v>4</v>
      </c>
      <c r="B7" s="10">
        <v>8</v>
      </c>
      <c r="D7" s="2" t="s">
        <v>79</v>
      </c>
      <c r="E7" s="59">
        <f ca="1">AL18*100</f>
        <v>7.1799020599279828</v>
      </c>
      <c r="G7" s="11">
        <f>IF(ROWS($G$7:G7)&gt;$AL$7,"",ROWS($G$7:G7))</f>
        <v>1</v>
      </c>
      <c r="H7" s="14">
        <f>IF($G7="","",VLOOKUP($AL$7-$G7+1,$AE$5:$AF$104,2))</f>
        <v>41820</v>
      </c>
      <c r="I7" s="19">
        <f>IF($G7="","",IF($G7=$AL$7,$B$9+$AL$4,$AL$4))</f>
        <v>40</v>
      </c>
      <c r="N7" s="72" t="s">
        <v>191</v>
      </c>
      <c r="O7" s="14">
        <f>B17</f>
        <v>41708</v>
      </c>
      <c r="P7" s="73">
        <f>-AL15</f>
        <v>-1098.9986187845304</v>
      </c>
      <c r="AA7" s="114" t="s">
        <v>25</v>
      </c>
      <c r="AB7" s="8">
        <v>1000</v>
      </c>
      <c r="AE7" s="7">
        <v>3</v>
      </c>
      <c r="AF7" s="14">
        <f t="shared" ref="AF7:AF70" si="4">IF(EDATE($AF$5,-($AE7-1)*$AL$3)&lt;=$B$17,"",EDATE($AF$5,-($AE7-1)*$AL$3))</f>
        <v>48213</v>
      </c>
      <c r="AH7" s="11">
        <f>IF(($AL$7-ROWS($AH$5:AH7)+1)&gt;=0,$AL$7-ROWS($AH$5:AH7)+1,"")</f>
        <v>36</v>
      </c>
      <c r="AI7" s="24">
        <f t="shared" ca="1" si="2"/>
        <v>1082.1355468709176</v>
      </c>
      <c r="AK7" s="2" t="s">
        <v>47</v>
      </c>
      <c r="AL7" s="11">
        <f>COUNT(AF5:AF104)</f>
        <v>38</v>
      </c>
      <c r="AN7" s="28">
        <v>44294</v>
      </c>
      <c r="AO7">
        <v>0.02</v>
      </c>
      <c r="AP7">
        <v>0.02</v>
      </c>
      <c r="AQ7">
        <v>0.01</v>
      </c>
      <c r="AR7">
        <v>0.04</v>
      </c>
      <c r="AS7">
        <v>0.05</v>
      </c>
      <c r="AT7">
        <v>0.14000000000000001</v>
      </c>
      <c r="AU7">
        <v>0.33</v>
      </c>
      <c r="AV7">
        <v>0.85</v>
      </c>
      <c r="AW7">
        <v>1.3</v>
      </c>
      <c r="AX7">
        <v>1.64</v>
      </c>
      <c r="AY7">
        <v>2.2200000000000002</v>
      </c>
      <c r="AZ7">
        <v>2.3199999999999998</v>
      </c>
      <c r="BB7" s="54" t="s">
        <v>132</v>
      </c>
      <c r="BC7" s="38">
        <f>B29/100</f>
        <v>1.2E-2</v>
      </c>
      <c r="BD7" s="31"/>
      <c r="BE7" s="54" t="str">
        <f>"Treasury Yield Curve for "&amp;BC4&amp;" on Sale Date"</f>
        <v>Treasury Yield Curve for Corp/AA on Sale Date</v>
      </c>
      <c r="BG7" s="53" t="s">
        <v>137</v>
      </c>
      <c r="BH7" s="14">
        <f>B26</f>
        <v>42449</v>
      </c>
      <c r="BI7" s="34">
        <f ca="1">BI5+$BC$7</f>
        <v>1.8799999999999997E-2</v>
      </c>
      <c r="BJ7" s="34">
        <f t="shared" ref="BJ7:BS7" ca="1" si="5">BJ5+$BC$7</f>
        <v>1.8799999999999997E-2</v>
      </c>
      <c r="BK7" s="34">
        <f t="shared" ca="1" si="5"/>
        <v>1.8799999999999997E-2</v>
      </c>
      <c r="BL7" s="34">
        <f t="shared" ca="1" si="5"/>
        <v>1.9E-2</v>
      </c>
      <c r="BM7" s="34">
        <f t="shared" ca="1" si="5"/>
        <v>1.9199999999999998E-2</v>
      </c>
      <c r="BN7" s="34">
        <f t="shared" ca="1" si="5"/>
        <v>2.0199999999999999E-2</v>
      </c>
      <c r="BO7" s="34">
        <f t="shared" ca="1" si="5"/>
        <v>2.1999999999999999E-2</v>
      </c>
      <c r="BP7" s="34">
        <f t="shared" ca="1" si="5"/>
        <v>2.6999999999999996E-2</v>
      </c>
      <c r="BQ7" s="34">
        <f t="shared" ca="1" si="5"/>
        <v>3.1199999999999999E-2</v>
      </c>
      <c r="BR7" s="34">
        <f t="shared" ca="1" si="5"/>
        <v>3.4500000000000003E-2</v>
      </c>
      <c r="BS7" s="34">
        <f t="shared" ca="1" si="5"/>
        <v>4.0099999999999997E-2</v>
      </c>
      <c r="BT7" s="34">
        <f ca="1">BT5+$BC$7</f>
        <v>4.1200000000000001E-2</v>
      </c>
      <c r="BW7" s="11" t="s">
        <v>121</v>
      </c>
      <c r="BX7" s="33">
        <v>44288</v>
      </c>
      <c r="BY7" s="34">
        <v>-5.0000000000000001E-4</v>
      </c>
      <c r="BZ7" s="34">
        <v>1.1999999999999999E-3</v>
      </c>
      <c r="CA7" s="34">
        <v>1.6299999999999999E-2</v>
      </c>
      <c r="CB7" s="34">
        <v>2.8500000000000001E-2</v>
      </c>
      <c r="CC7" s="34">
        <v>3.8699999999999998E-2</v>
      </c>
      <c r="CO7" s="2" t="s">
        <v>4</v>
      </c>
      <c r="CP7" s="10">
        <v>8</v>
      </c>
      <c r="CR7" s="2" t="s">
        <v>4</v>
      </c>
      <c r="CS7" s="10">
        <v>8</v>
      </c>
    </row>
    <row r="8" spans="1:97" x14ac:dyDescent="0.2">
      <c r="A8" s="2" t="s">
        <v>5</v>
      </c>
      <c r="B8" s="4" t="s">
        <v>21</v>
      </c>
      <c r="G8" s="11">
        <f>IF(ROWS($G$7:G8)&gt;$AL$7,"",ROWS($G$7:G8))</f>
        <v>2</v>
      </c>
      <c r="H8" s="14">
        <f t="shared" ref="H8:H71" si="6">IF($G8="","",VLOOKUP($AL$7-$G8+1,$AE$5:$AF$104,2))</f>
        <v>42004</v>
      </c>
      <c r="I8" s="19">
        <f t="shared" ref="I8:I71" si="7">IF($G8="","",IF($G8=$AL$7,$B$9+$AL$4,$AL$4))</f>
        <v>40</v>
      </c>
      <c r="N8" s="68">
        <f ca="1">IF(ROWS($N$8:$N8)&gt;$AL$27+2,"",IF(ROWS($N$8:$N8)=$AL$27+2,ROWS($N$8:$N8)-1,IF(ROWS($N$8:$N8)&lt;=$AL$27,ROWS($N$8:$N8),"Sale")))</f>
        <v>1</v>
      </c>
      <c r="O8" s="33">
        <f ca="1">IF($N8="Sale",$B$26,IF($N8="","",VLOOKUP($AL$7-$N8+1,$AE$5:$AF$104,2)))</f>
        <v>41820</v>
      </c>
      <c r="P8" s="73">
        <f ca="1">IF($N8="Sale",-$AL$40,IF(ROWS($P$8:$P8)=$AL$27+2,"",IF($N8="","",$AL$4)))</f>
        <v>40</v>
      </c>
      <c r="AA8" s="114"/>
      <c r="AB8" s="8">
        <v>10000</v>
      </c>
      <c r="AE8" s="7">
        <v>4</v>
      </c>
      <c r="AF8" s="14">
        <f t="shared" si="4"/>
        <v>48029</v>
      </c>
      <c r="AH8" s="11">
        <f>IF(($AL$7-ROWS($AH$5:AH8)+1)&gt;=0,$AL$7-ROWS($AH$5:AH8)+1,"")</f>
        <v>35</v>
      </c>
      <c r="AI8" s="24">
        <f t="shared" ca="1" si="2"/>
        <v>1080.9836830814168</v>
      </c>
      <c r="AK8" s="2" t="s">
        <v>48</v>
      </c>
      <c r="AL8" s="14">
        <f>MIN(AF5:AF104)</f>
        <v>41820</v>
      </c>
      <c r="AN8" s="28">
        <v>44295</v>
      </c>
      <c r="AO8">
        <v>0.02</v>
      </c>
      <c r="AP8">
        <v>0.01</v>
      </c>
      <c r="AQ8">
        <v>0.02</v>
      </c>
      <c r="AR8">
        <v>0.03</v>
      </c>
      <c r="AS8">
        <v>0.06</v>
      </c>
      <c r="AT8">
        <v>0.16</v>
      </c>
      <c r="AU8">
        <v>0.35</v>
      </c>
      <c r="AV8">
        <v>0.87</v>
      </c>
      <c r="AW8">
        <v>1.33</v>
      </c>
      <c r="AX8">
        <v>1.67</v>
      </c>
      <c r="AY8">
        <v>2.23</v>
      </c>
      <c r="AZ8">
        <v>2.34</v>
      </c>
      <c r="BB8" s="40"/>
      <c r="BC8" s="31"/>
      <c r="BD8" s="31"/>
      <c r="BE8" s="41"/>
      <c r="BW8" s="11" t="s">
        <v>122</v>
      </c>
      <c r="BX8" s="33">
        <v>44288</v>
      </c>
      <c r="BY8" s="34">
        <v>1E-3</v>
      </c>
      <c r="BZ8" s="34">
        <v>2.8E-3</v>
      </c>
      <c r="CA8" s="34">
        <v>1.78E-2</v>
      </c>
      <c r="CB8" s="34">
        <v>3.0099999999999998E-2</v>
      </c>
      <c r="CC8" s="34">
        <v>4.0300000000000002E-2</v>
      </c>
      <c r="CO8" s="2" t="s">
        <v>5</v>
      </c>
      <c r="CP8" s="4" t="s">
        <v>21</v>
      </c>
      <c r="CR8" s="2" t="s">
        <v>5</v>
      </c>
      <c r="CS8" s="4" t="s">
        <v>21</v>
      </c>
    </row>
    <row r="9" spans="1:97" x14ac:dyDescent="0.2">
      <c r="A9" s="2" t="s">
        <v>6</v>
      </c>
      <c r="B9" s="83">
        <v>1000</v>
      </c>
      <c r="D9" s="2" t="s">
        <v>81</v>
      </c>
      <c r="E9" s="59">
        <f>AL19*100</f>
        <v>7.0000000000000009</v>
      </c>
      <c r="G9" s="11">
        <f>IF(ROWS($G$7:G9)&gt;$AL$7,"",ROWS($G$7:G9))</f>
        <v>3</v>
      </c>
      <c r="H9" s="14">
        <f t="shared" si="6"/>
        <v>42185</v>
      </c>
      <c r="I9" s="19">
        <f t="shared" si="7"/>
        <v>40</v>
      </c>
      <c r="N9" s="68">
        <f ca="1">IF(ROWS($N$8:$N9)&gt;$AL$27+2,"",IF(ROWS($N$8:$N9)=$AL$27+2,ROWS($N$8:$N9)-1,IF(ROWS($N$8:$N9)&lt;=$AL$27,ROWS($N$8:$N9),"Sale")))</f>
        <v>2</v>
      </c>
      <c r="O9" s="33">
        <f t="shared" ref="O9:O72" ca="1" si="8">IF($N9="Sale",$B$26,IF($N9="","",VLOOKUP($AL$7-$N9+1,$AE$5:$AF$104,2)))</f>
        <v>42004</v>
      </c>
      <c r="P9" s="73">
        <f ca="1">IF($N9="Sale",-$AL$40,IF(ROWS($P$8:$P9)=$AL$27+2,"",IF($N9="","",$AL$4)))</f>
        <v>40</v>
      </c>
      <c r="AE9" s="7">
        <v>5</v>
      </c>
      <c r="AF9" s="14">
        <f t="shared" si="4"/>
        <v>47848</v>
      </c>
      <c r="AH9" s="11">
        <f>IF(($AL$7-ROWS($AH$5:AH9)+1)&gt;=0,$AL$7-ROWS($AH$5:AH9)+1,"")</f>
        <v>34</v>
      </c>
      <c r="AI9" s="24">
        <f t="shared" ca="1" si="2"/>
        <v>1079.7904679459405</v>
      </c>
      <c r="AK9" s="2" t="s">
        <v>49</v>
      </c>
      <c r="AL9" s="14">
        <f>EDATE($AF$5,-1*$AL$7*$AL$3)</f>
        <v>41639</v>
      </c>
      <c r="AN9" s="28">
        <v>44298</v>
      </c>
      <c r="AO9">
        <v>0.02</v>
      </c>
      <c r="AP9">
        <v>0.02</v>
      </c>
      <c r="AQ9">
        <v>0.02</v>
      </c>
      <c r="AR9">
        <v>0.04</v>
      </c>
      <c r="AS9">
        <v>0.06</v>
      </c>
      <c r="AT9">
        <v>0.18</v>
      </c>
      <c r="AU9">
        <v>0.38</v>
      </c>
      <c r="AV9">
        <v>0.89</v>
      </c>
      <c r="AW9">
        <v>1.35</v>
      </c>
      <c r="AX9">
        <v>1.69</v>
      </c>
      <c r="AY9">
        <v>2.2400000000000002</v>
      </c>
      <c r="AZ9">
        <v>2.34</v>
      </c>
      <c r="BB9" s="54" t="s">
        <v>138</v>
      </c>
      <c r="BC9" s="29">
        <f>YEARFRAC(B17,Maturity_Date)</f>
        <v>18.808333333333334</v>
      </c>
      <c r="BD9" s="31"/>
      <c r="BE9" s="41"/>
      <c r="BW9" s="11" t="s">
        <v>123</v>
      </c>
      <c r="BX9" s="33">
        <v>44288</v>
      </c>
      <c r="BY9" s="34">
        <v>4.0000000000000001E-3</v>
      </c>
      <c r="BZ9" s="34">
        <v>5.7999999999999996E-3</v>
      </c>
      <c r="CA9" s="34">
        <v>2.0899999999999998E-2</v>
      </c>
      <c r="CB9" s="34">
        <v>3.32E-2</v>
      </c>
      <c r="CC9" s="34">
        <v>4.3299999999999998E-2</v>
      </c>
      <c r="CO9" s="2" t="s">
        <v>6</v>
      </c>
      <c r="CP9" s="17">
        <v>1000</v>
      </c>
      <c r="CR9" s="2" t="s">
        <v>6</v>
      </c>
      <c r="CS9" s="17">
        <v>1000</v>
      </c>
    </row>
    <row r="10" spans="1:97" x14ac:dyDescent="0.2">
      <c r="A10" s="2" t="s">
        <v>7</v>
      </c>
      <c r="B10" s="4" t="s">
        <v>121</v>
      </c>
      <c r="D10" s="2" t="s">
        <v>69</v>
      </c>
      <c r="E10" s="62">
        <f>AL22</f>
        <v>1103.5331318540443</v>
      </c>
      <c r="G10" s="11">
        <f>IF(ROWS($G$7:G10)&gt;$AL$7,"",ROWS($G$7:G10))</f>
        <v>4</v>
      </c>
      <c r="H10" s="14">
        <f t="shared" si="6"/>
        <v>42369</v>
      </c>
      <c r="I10" s="19">
        <f t="shared" si="7"/>
        <v>40</v>
      </c>
      <c r="N10" s="68">
        <f ca="1">IF(ROWS($N$8:$N10)&gt;$AL$27+2,"",IF(ROWS($N$8:$N10)=$AL$27+2,ROWS($N$8:$N10)-1,IF(ROWS($N$8:$N10)&lt;=$AL$27,ROWS($N$8:$N10),"Sale")))</f>
        <v>3</v>
      </c>
      <c r="O10" s="33">
        <f t="shared" ca="1" si="8"/>
        <v>42185</v>
      </c>
      <c r="P10" s="73">
        <f ca="1">IF($N10="Sale",-$AL$40,IF(ROWS($P$8:$P10)=$AL$27+2,"",IF($N10="","",$AL$4)))</f>
        <v>40</v>
      </c>
      <c r="AA10" s="114" t="s">
        <v>26</v>
      </c>
      <c r="AB10" s="7" t="s">
        <v>33</v>
      </c>
      <c r="AE10" s="7">
        <v>6</v>
      </c>
      <c r="AF10" s="14">
        <f t="shared" si="4"/>
        <v>47664</v>
      </c>
      <c r="AH10" s="11">
        <f>IF(($AL$7-ROWS($AH$5:AH10)+1)&gt;=0,$AL$7-ROWS($AH$5:AH10)+1,"")</f>
        <v>33</v>
      </c>
      <c r="AI10" s="24">
        <f t="shared" ca="1" si="2"/>
        <v>1078.554416971419</v>
      </c>
      <c r="AK10" s="2" t="s">
        <v>50</v>
      </c>
      <c r="AL10" s="15">
        <f>_xlfn.DAYS(AL8,AL9)</f>
        <v>181</v>
      </c>
      <c r="AN10" s="28">
        <v>44299</v>
      </c>
      <c r="AO10">
        <v>0.03</v>
      </c>
      <c r="AP10">
        <v>0.02</v>
      </c>
      <c r="AQ10">
        <v>0.03</v>
      </c>
      <c r="AR10">
        <v>0.05</v>
      </c>
      <c r="AS10">
        <v>0.06</v>
      </c>
      <c r="AT10">
        <v>0.16</v>
      </c>
      <c r="AU10">
        <v>0.35</v>
      </c>
      <c r="AV10">
        <v>0.85</v>
      </c>
      <c r="AW10">
        <v>1.29</v>
      </c>
      <c r="AX10">
        <v>1.64</v>
      </c>
      <c r="AY10">
        <v>2.21</v>
      </c>
      <c r="AZ10">
        <v>2.3199999999999998</v>
      </c>
      <c r="BB10" s="54" t="s">
        <v>139</v>
      </c>
      <c r="BC10" s="29">
        <f>YEARFRAC(B26,Maturity_Date)</f>
        <v>16.780555555555555</v>
      </c>
      <c r="BD10" s="42"/>
      <c r="BE10" s="47"/>
      <c r="BH10" s="124" t="s">
        <v>161</v>
      </c>
      <c r="BI10" s="125"/>
      <c r="BJ10" s="126"/>
      <c r="BW10" s="11" t="s">
        <v>124</v>
      </c>
      <c r="BX10" s="33">
        <v>44288</v>
      </c>
      <c r="BY10" s="34">
        <v>1.46E-2</v>
      </c>
      <c r="BZ10" s="34">
        <v>1.7500000000000002E-2</v>
      </c>
      <c r="CA10" s="34">
        <v>3.7900000000000003E-2</v>
      </c>
      <c r="CB10" s="34">
        <v>5.4899999999999997E-2</v>
      </c>
      <c r="CC10" s="34">
        <v>7.0599999999999996E-2</v>
      </c>
      <c r="CO10" s="2" t="s">
        <v>7</v>
      </c>
      <c r="CP10" s="4" t="s">
        <v>121</v>
      </c>
      <c r="CR10" s="2" t="s">
        <v>7</v>
      </c>
      <c r="CS10" s="4" t="s">
        <v>121</v>
      </c>
    </row>
    <row r="11" spans="1:97" x14ac:dyDescent="0.2">
      <c r="D11" s="2" t="s">
        <v>70</v>
      </c>
      <c r="E11" s="62">
        <f>AL21</f>
        <v>1118.7817506385747</v>
      </c>
      <c r="G11" s="11">
        <f>IF(ROWS($G$7:G11)&gt;$AL$7,"",ROWS($G$7:G11))</f>
        <v>5</v>
      </c>
      <c r="H11" s="14">
        <f t="shared" si="6"/>
        <v>42551</v>
      </c>
      <c r="I11" s="19">
        <f t="shared" si="7"/>
        <v>40</v>
      </c>
      <c r="N11" s="68">
        <f ca="1">IF(ROWS($N$8:$N11)&gt;$AL$27+2,"",IF(ROWS($N$8:$N11)=$AL$27+2,ROWS($N$8:$N11)-1,IF(ROWS($N$8:$N11)&lt;=$AL$27,ROWS($N$8:$N11),"Sale")))</f>
        <v>4</v>
      </c>
      <c r="O11" s="33">
        <f t="shared" ca="1" si="8"/>
        <v>42369</v>
      </c>
      <c r="P11" s="73">
        <f ca="1">IF($N11="Sale",-$AL$40,IF(ROWS($P$8:$P11)=$AL$27+2,"",IF($N11="","",$AL$4)))</f>
        <v>40</v>
      </c>
      <c r="AA11" s="114"/>
      <c r="AB11" s="7" t="s">
        <v>35</v>
      </c>
      <c r="AE11" s="7">
        <v>7</v>
      </c>
      <c r="AF11" s="14">
        <f t="shared" si="4"/>
        <v>47483</v>
      </c>
      <c r="AH11" s="11">
        <f>IF(($AL$7-ROWS($AH$5:AH11)+1)&gt;=0,$AL$7-ROWS($AH$5:AH11)+1,"")</f>
        <v>32</v>
      </c>
      <c r="AI11" s="24">
        <f t="shared" ca="1" si="2"/>
        <v>1077.2739923722065</v>
      </c>
      <c r="AK11" s="2" t="s">
        <v>51</v>
      </c>
      <c r="AL11" s="11">
        <f>_xlfn.DAYS($B$17,$AL$9)</f>
        <v>69</v>
      </c>
      <c r="AN11" s="28">
        <v>44300</v>
      </c>
      <c r="AO11">
        <v>0.02</v>
      </c>
      <c r="AP11">
        <v>0.02</v>
      </c>
      <c r="AQ11">
        <v>0.02</v>
      </c>
      <c r="AR11">
        <v>0.04</v>
      </c>
      <c r="AS11">
        <v>0.06</v>
      </c>
      <c r="AT11">
        <v>0.16</v>
      </c>
      <c r="AU11">
        <v>0.35</v>
      </c>
      <c r="AV11">
        <v>0.87</v>
      </c>
      <c r="AW11">
        <v>1.31</v>
      </c>
      <c r="AX11">
        <v>1.64</v>
      </c>
      <c r="AY11">
        <v>2.2200000000000002</v>
      </c>
      <c r="AZ11">
        <v>2.3199999999999998</v>
      </c>
      <c r="BH11" s="52" t="s">
        <v>10</v>
      </c>
      <c r="BI11" s="72" t="s">
        <v>151</v>
      </c>
      <c r="BJ11" s="72" t="s">
        <v>150</v>
      </c>
      <c r="BW11" s="11" t="s">
        <v>125</v>
      </c>
      <c r="BX11" s="33">
        <v>44288</v>
      </c>
      <c r="BY11" s="34">
        <v>3.0800000000000001E-2</v>
      </c>
      <c r="BZ11" s="34">
        <v>3.44E-2</v>
      </c>
      <c r="CA11" s="34">
        <v>5.8000000000000003E-2</v>
      </c>
      <c r="CB11" s="34">
        <v>7.8E-2</v>
      </c>
      <c r="CC11" s="34">
        <v>9.7100000000000006E-2</v>
      </c>
    </row>
    <row r="12" spans="1:97" x14ac:dyDescent="0.2">
      <c r="A12" s="2" t="s">
        <v>8</v>
      </c>
      <c r="B12" s="14">
        <v>44304</v>
      </c>
      <c r="G12" s="11">
        <f>IF(ROWS($G$7:G12)&gt;$AL$7,"",ROWS($G$7:G12))</f>
        <v>6</v>
      </c>
      <c r="H12" s="14">
        <f t="shared" si="6"/>
        <v>42735</v>
      </c>
      <c r="I12" s="19">
        <f t="shared" si="7"/>
        <v>40</v>
      </c>
      <c r="N12" s="72" t="str">
        <f ca="1">IF(ROWS($N$8:$N12)&gt;$AL$27+2,"",IF(ROWS($N$8:$N12)=$AL$27+2,ROWS($N$8:$N12)-1,IF(ROWS($N$8:$N12)&lt;=$AL$27,ROWS($N$8:$N12),"Sale")))</f>
        <v>Sale</v>
      </c>
      <c r="O12" s="33">
        <f t="shared" ca="1" si="8"/>
        <v>42449</v>
      </c>
      <c r="P12" s="73">
        <f ca="1">IF($N12="Sale",-$AL$40,IF(ROWS($P$8:$P12)=$AL$27+2,"",IF($N12="","",$AL$4)))</f>
        <v>-973.10558944577429</v>
      </c>
      <c r="AA12" s="114"/>
      <c r="AB12" s="7" t="s">
        <v>121</v>
      </c>
      <c r="AE12" s="7">
        <v>8</v>
      </c>
      <c r="AF12" s="14">
        <f t="shared" si="4"/>
        <v>47299</v>
      </c>
      <c r="AH12" s="11">
        <f>IF(($AL$7-ROWS($AH$5:AH12)+1)&gt;=0,$AL$7-ROWS($AH$5:AH12)+1,"")</f>
        <v>31</v>
      </c>
      <c r="AI12" s="24">
        <f t="shared" ca="1" si="2"/>
        <v>1075.9476011569068</v>
      </c>
      <c r="AK12" s="2" t="s">
        <v>52</v>
      </c>
      <c r="AL12" s="16">
        <f>$AL$11/$AL$10</f>
        <v>0.38121546961325969</v>
      </c>
      <c r="AN12" s="28">
        <v>44301</v>
      </c>
      <c r="AO12">
        <v>0.02</v>
      </c>
      <c r="AP12">
        <v>0.01</v>
      </c>
      <c r="AQ12">
        <v>0.02</v>
      </c>
      <c r="AR12">
        <v>0.04</v>
      </c>
      <c r="AS12">
        <v>0.06</v>
      </c>
      <c r="AT12">
        <v>0.16</v>
      </c>
      <c r="AU12">
        <v>0.32</v>
      </c>
      <c r="AV12">
        <v>0.81</v>
      </c>
      <c r="AW12">
        <v>1.24</v>
      </c>
      <c r="AX12">
        <v>1.56</v>
      </c>
      <c r="AY12">
        <v>2.13</v>
      </c>
      <c r="AZ12">
        <v>2.23</v>
      </c>
      <c r="BH12" s="40"/>
      <c r="BI12" s="74">
        <v>0</v>
      </c>
      <c r="BJ12" s="38">
        <f ca="1">BJ13</f>
        <v>3.0228412424238082E-2</v>
      </c>
      <c r="BW12" s="11" t="s">
        <v>126</v>
      </c>
      <c r="BX12" s="33">
        <v>44288</v>
      </c>
      <c r="BY12" s="34">
        <v>7.7100000000000002E-2</v>
      </c>
      <c r="BZ12" s="34">
        <v>7.8600000000000003E-2</v>
      </c>
      <c r="CA12" s="34">
        <v>9.2799999999999994E-2</v>
      </c>
      <c r="CB12" s="34">
        <v>0.1043</v>
      </c>
      <c r="CC12" s="34">
        <v>0.1134</v>
      </c>
      <c r="CO12" s="2" t="s">
        <v>8</v>
      </c>
      <c r="CP12" s="14">
        <v>44304</v>
      </c>
      <c r="CR12" s="2" t="s">
        <v>8</v>
      </c>
      <c r="CS12" s="14">
        <v>44304</v>
      </c>
    </row>
    <row r="13" spans="1:97" x14ac:dyDescent="0.2">
      <c r="D13" s="111" t="s">
        <v>71</v>
      </c>
      <c r="E13" s="111"/>
      <c r="G13" s="11">
        <f>IF(ROWS($G$7:G13)&gt;$AL$7,"",ROWS($G$7:G13))</f>
        <v>7</v>
      </c>
      <c r="H13" s="14">
        <f t="shared" si="6"/>
        <v>42916</v>
      </c>
      <c r="I13" s="19">
        <f t="shared" si="7"/>
        <v>40</v>
      </c>
      <c r="N13" s="68">
        <f ca="1">IF(ROWS($N$8:$N13)&gt;$AL$27+2,"",IF(ROWS($N$8:$N13)=$AL$27+2,ROWS($N$8:$N13)-1,IF(ROWS($N$8:$N13)&lt;=$AL$27,ROWS($N$8:$N13),"Sale")))</f>
        <v>5</v>
      </c>
      <c r="O13" s="33">
        <f t="shared" ca="1" si="8"/>
        <v>42551</v>
      </c>
      <c r="P13" s="73" t="str">
        <f ca="1">IF($N13="Sale",-$AL$40,IF(ROWS($P$8:$P13)=$AL$27+2,"",IF($N13="","",$AL$4)))</f>
        <v/>
      </c>
      <c r="AA13" s="114"/>
      <c r="AB13" s="7" t="s">
        <v>122</v>
      </c>
      <c r="AE13" s="7">
        <v>9</v>
      </c>
      <c r="AF13" s="14">
        <f t="shared" si="4"/>
        <v>47118</v>
      </c>
      <c r="AH13" s="11">
        <f>IF(($AL$7-ROWS($AH$5:AH13)+1)&gt;=0,$AL$7-ROWS($AH$5:AH13)+1,"")</f>
        <v>30</v>
      </c>
      <c r="AI13" s="24">
        <f t="shared" ca="1" si="2"/>
        <v>1074.5735931465119</v>
      </c>
      <c r="AK13" s="2" t="s">
        <v>53</v>
      </c>
      <c r="AL13" s="18">
        <f>$AL$12*$AL$4</f>
        <v>15.248618784530388</v>
      </c>
      <c r="AN13" s="28">
        <v>44302</v>
      </c>
      <c r="AO13">
        <v>0.02</v>
      </c>
      <c r="AP13">
        <v>0.02</v>
      </c>
      <c r="AQ13">
        <v>0.02</v>
      </c>
      <c r="AR13">
        <v>0.04</v>
      </c>
      <c r="AS13">
        <v>0.06</v>
      </c>
      <c r="AT13">
        <v>0.16</v>
      </c>
      <c r="AU13">
        <v>0.34</v>
      </c>
      <c r="AV13">
        <v>0.84</v>
      </c>
      <c r="AW13">
        <v>1.26</v>
      </c>
      <c r="AX13">
        <v>1.59</v>
      </c>
      <c r="AY13">
        <v>2.15</v>
      </c>
      <c r="AZ13">
        <v>2.2599999999999998</v>
      </c>
      <c r="BH13" s="40" t="s">
        <v>13</v>
      </c>
      <c r="BI13" s="29">
        <f>BC9</f>
        <v>18.808333333333334</v>
      </c>
      <c r="BJ13" s="38">
        <f ca="1">IF(B32=AB22,BY43,CD17)</f>
        <v>3.0228412424238082E-2</v>
      </c>
    </row>
    <row r="14" spans="1:97" x14ac:dyDescent="0.2">
      <c r="A14" s="2" t="s">
        <v>9</v>
      </c>
      <c r="B14" s="5" t="s">
        <v>192</v>
      </c>
      <c r="D14" s="2" t="s">
        <v>74</v>
      </c>
      <c r="E14" s="62">
        <f>AL15</f>
        <v>1098.9986187845304</v>
      </c>
      <c r="G14" s="11">
        <f>IF(ROWS($G$7:G14)&gt;$AL$7,"",ROWS($G$7:G14))</f>
        <v>8</v>
      </c>
      <c r="H14" s="14">
        <f t="shared" si="6"/>
        <v>43100</v>
      </c>
      <c r="I14" s="19">
        <f t="shared" si="7"/>
        <v>40</v>
      </c>
      <c r="N14" s="68" t="str">
        <f ca="1">IF(ROWS($N$8:$N14)&gt;$AL$27+2,"",IF(ROWS($N$8:$N14)=$AL$27+2,ROWS($N$8:$N14)-1,IF(ROWS($N$8:$N14)&lt;=$AL$27,ROWS($N$8:$N14),"Sale")))</f>
        <v/>
      </c>
      <c r="O14" s="33" t="str">
        <f t="shared" ca="1" si="8"/>
        <v/>
      </c>
      <c r="P14" s="73" t="str">
        <f ca="1">IF($N14="Sale",-$AL$40,IF(ROWS($P$8:$P14)=$AL$27+2,"",IF($N14="","",$AL$4)))</f>
        <v/>
      </c>
      <c r="AA14" s="114"/>
      <c r="AB14" s="7" t="s">
        <v>36</v>
      </c>
      <c r="AE14" s="7">
        <v>10</v>
      </c>
      <c r="AF14" s="14">
        <f t="shared" si="4"/>
        <v>46934</v>
      </c>
      <c r="AH14" s="11">
        <f>IF(($AL$7-ROWS($AH$5:AH14)+1)&gt;=0,$AL$7-ROWS($AH$5:AH14)+1,"")</f>
        <v>29</v>
      </c>
      <c r="AI14" s="24">
        <f t="shared" ca="1" si="2"/>
        <v>1073.1502589213962</v>
      </c>
      <c r="AK14" s="2" t="s">
        <v>54</v>
      </c>
      <c r="AL14" s="18">
        <f>IF($A$18=$AB$25, B18%*B9, -PV(AL17,AL7,AL4,B9,0)*((1+AL17)^AL12)-AL13)</f>
        <v>1083.75</v>
      </c>
      <c r="BH14" s="40"/>
      <c r="BI14" s="29">
        <f>BC9</f>
        <v>18.808333333333334</v>
      </c>
      <c r="BJ14" s="38">
        <v>0</v>
      </c>
      <c r="BW14" s="101" t="s">
        <v>148</v>
      </c>
      <c r="BX14" s="101"/>
      <c r="BY14" s="101"/>
      <c r="BZ14" s="101"/>
      <c r="CA14" s="101"/>
      <c r="CB14" s="101"/>
      <c r="CC14" s="101"/>
      <c r="CD14" s="101"/>
      <c r="CO14" s="2" t="s">
        <v>9</v>
      </c>
      <c r="CP14" s="5" t="s">
        <v>130</v>
      </c>
      <c r="CR14" s="2" t="s">
        <v>9</v>
      </c>
      <c r="CS14" s="5" t="s">
        <v>192</v>
      </c>
    </row>
    <row r="15" spans="1:97" x14ac:dyDescent="0.2">
      <c r="D15" s="2" t="s">
        <v>80</v>
      </c>
      <c r="E15" s="66">
        <f>B23</f>
        <v>0.1</v>
      </c>
      <c r="G15" s="11">
        <f>IF(ROWS($G$7:G15)&gt;$AL$7,"",ROWS($G$7:G15))</f>
        <v>9</v>
      </c>
      <c r="H15" s="14">
        <f t="shared" si="6"/>
        <v>43281</v>
      </c>
      <c r="I15" s="19">
        <f t="shared" si="7"/>
        <v>40</v>
      </c>
      <c r="N15" s="68" t="str">
        <f ca="1">IF(ROWS($N$8:$N15)&gt;$AL$27+2,"",IF(ROWS($N$8:$N15)=$AL$27+2,ROWS($N$8:$N15)-1,IF(ROWS($N$8:$N15)&lt;=$AL$27,ROWS($N$8:$N15),"Sale")))</f>
        <v/>
      </c>
      <c r="O15" s="33" t="str">
        <f t="shared" ca="1" si="8"/>
        <v/>
      </c>
      <c r="P15" s="73" t="str">
        <f ca="1">IF($N15="Sale",-$AL$40,IF(ROWS($P$8:$P15)=$AL$27+2,"",IF($N15="","",$AL$4)))</f>
        <v/>
      </c>
      <c r="AA15" s="114"/>
      <c r="AB15" s="7" t="s">
        <v>124</v>
      </c>
      <c r="AE15" s="7">
        <v>11</v>
      </c>
      <c r="AF15" s="14">
        <f t="shared" si="4"/>
        <v>46752</v>
      </c>
      <c r="AH15" s="11">
        <f>IF(($AL$7-ROWS($AH$5:AH15)+1)&gt;=0,$AL$7-ROWS($AH$5:AH15)+1,"")</f>
        <v>28</v>
      </c>
      <c r="AI15" s="24">
        <f t="shared" ca="1" si="2"/>
        <v>1071.6758276946061</v>
      </c>
      <c r="AK15" s="2" t="s">
        <v>55</v>
      </c>
      <c r="AL15" s="18">
        <f>$AL$13+$AL$14</f>
        <v>1098.9986187845304</v>
      </c>
      <c r="BH15" s="40"/>
      <c r="BI15" s="31"/>
      <c r="BJ15" s="41"/>
      <c r="BW15" s="128" t="s">
        <v>10</v>
      </c>
      <c r="BX15" s="128"/>
      <c r="BY15" s="128"/>
      <c r="BZ15" s="128"/>
      <c r="CA15" s="31"/>
      <c r="CB15" s="39"/>
      <c r="CC15" s="39" t="s">
        <v>143</v>
      </c>
      <c r="CD15" s="39" t="s">
        <v>144</v>
      </c>
    </row>
    <row r="16" spans="1:97" x14ac:dyDescent="0.2">
      <c r="A16" s="109" t="s">
        <v>10</v>
      </c>
      <c r="B16" s="109"/>
      <c r="D16" s="2" t="s">
        <v>75</v>
      </c>
      <c r="E16" s="62">
        <f ca="1">AL24</f>
        <v>1088.2238597381063</v>
      </c>
      <c r="G16" s="11">
        <f>IF(ROWS($G$7:G16)&gt;$AL$7,"",ROWS($G$7:G16))</f>
        <v>10</v>
      </c>
      <c r="H16" s="14">
        <f t="shared" si="6"/>
        <v>43465</v>
      </c>
      <c r="I16" s="19">
        <f t="shared" si="7"/>
        <v>40</v>
      </c>
      <c r="N16" s="68" t="str">
        <f ca="1">IF(ROWS($N$8:$N16)&gt;$AL$27+2,"",IF(ROWS($N$8:$N16)=$AL$27+2,ROWS($N$8:$N16)-1,IF(ROWS($N$8:$N16)&lt;=$AL$27,ROWS($N$8:$N16),"Sale")))</f>
        <v/>
      </c>
      <c r="O16" s="33" t="str">
        <f t="shared" ca="1" si="8"/>
        <v/>
      </c>
      <c r="P16" s="73" t="str">
        <f ca="1">IF($N16="Sale",-$AL$40,IF(ROWS($P$8:$P16)=$AL$27+2,"",IF($N16="","",$AL$4)))</f>
        <v/>
      </c>
      <c r="AA16" s="114"/>
      <c r="AB16" s="7" t="s">
        <v>125</v>
      </c>
      <c r="AE16" s="7">
        <v>12</v>
      </c>
      <c r="AF16" s="14">
        <f t="shared" si="4"/>
        <v>46568</v>
      </c>
      <c r="AH16" s="11">
        <f>IF(($AL$7-ROWS($AH$5:AH16)+1)&gt;=0,$AL$7-ROWS($AH$5:AH16)+1,"")</f>
        <v>27</v>
      </c>
      <c r="AI16" s="24">
        <f t="shared" ca="1" si="2"/>
        <v>1070.1484651088037</v>
      </c>
      <c r="AK16" s="2" t="s">
        <v>56</v>
      </c>
      <c r="AL16" s="18">
        <f ca="1">$AL$15/(1+$AL$17)^$AL$12</f>
        <v>1084.3209029386544</v>
      </c>
      <c r="BH16" s="52" t="s">
        <v>16</v>
      </c>
      <c r="BI16" s="72" t="s">
        <v>151</v>
      </c>
      <c r="BJ16" s="72" t="s">
        <v>150</v>
      </c>
      <c r="BW16" s="105" t="s">
        <v>140</v>
      </c>
      <c r="BX16" s="105"/>
      <c r="BY16" s="105"/>
      <c r="BZ16" s="29">
        <f>BC9</f>
        <v>18.808333333333334</v>
      </c>
      <c r="CA16" s="31"/>
      <c r="CB16" s="11" t="s">
        <v>145</v>
      </c>
      <c r="CC16" s="11" cm="1">
        <f t="array" ref="CC16">INDEX(BI3:BT3,BZ17)</f>
        <v>10</v>
      </c>
      <c r="CD16" s="38" cm="1">
        <f t="array" aca="1" ref="CD16" ca="1">INDEX(BI6:BT6,BZ17)</f>
        <v>2.4500000000000001E-2</v>
      </c>
      <c r="CO16" s="109" t="s">
        <v>10</v>
      </c>
      <c r="CP16" s="109"/>
      <c r="CR16" s="109" t="s">
        <v>10</v>
      </c>
      <c r="CS16" s="109"/>
    </row>
    <row r="17" spans="1:97" ht="15" customHeight="1" x14ac:dyDescent="0.2">
      <c r="A17" s="2" t="s">
        <v>11</v>
      </c>
      <c r="B17" s="12">
        <v>41708</v>
      </c>
      <c r="D17" s="2" t="s">
        <v>76</v>
      </c>
      <c r="E17" s="60">
        <f ca="1">(E16-E14)/E14*100</f>
        <v>-0.98041606806938586</v>
      </c>
      <c r="G17" s="11">
        <f>IF(ROWS($G$7:G17)&gt;$AL$7,"",ROWS($G$7:G17))</f>
        <v>11</v>
      </c>
      <c r="H17" s="14">
        <f t="shared" si="6"/>
        <v>43646</v>
      </c>
      <c r="I17" s="19">
        <f t="shared" si="7"/>
        <v>40</v>
      </c>
      <c r="N17" s="68" t="str">
        <f ca="1">IF(ROWS($N$8:$N17)&gt;$AL$27+2,"",IF(ROWS($N$8:$N17)=$AL$27+2,ROWS($N$8:$N17)-1,IF(ROWS($N$8:$N17)&lt;=$AL$27,ROWS($N$8:$N17),"Sale")))</f>
        <v/>
      </c>
      <c r="O17" s="33" t="str">
        <f t="shared" ca="1" si="8"/>
        <v/>
      </c>
      <c r="P17" s="73" t="str">
        <f ca="1">IF($N17="Sale",-$AL$40,IF(ROWS($P$8:$P17)=$AL$27+2,"",IF($N17="","",$AL$4)))</f>
        <v/>
      </c>
      <c r="AA17" s="114"/>
      <c r="AB17" s="7" t="s">
        <v>37</v>
      </c>
      <c r="AE17" s="7">
        <v>13</v>
      </c>
      <c r="AF17" s="14">
        <f t="shared" si="4"/>
        <v>46387</v>
      </c>
      <c r="AH17" s="11">
        <f>IF(($AL$7-ROWS($AH$5:AH17)+1)&gt;=0,$AL$7-ROWS($AH$5:AH17)+1,"")</f>
        <v>26</v>
      </c>
      <c r="AI17" s="24">
        <f t="shared" ca="1" si="2"/>
        <v>1068.5662709541211</v>
      </c>
      <c r="AK17" s="2" t="s">
        <v>57</v>
      </c>
      <c r="AL17" s="22">
        <f ca="1">IF($A$18=$AB$26, $B$18/100, IFERROR(RATE(AL7,AL4,-AL16,B9),B7%/AL2))</f>
        <v>3.5899510299639913E-2</v>
      </c>
      <c r="AM17" s="21"/>
      <c r="BH17" s="40"/>
      <c r="BI17" s="74">
        <v>0</v>
      </c>
      <c r="BJ17" s="38">
        <f ca="1">BJ18</f>
        <v>3.9267943451253312E-2</v>
      </c>
      <c r="BW17" s="127" t="s">
        <v>141</v>
      </c>
      <c r="BX17" s="127"/>
      <c r="BY17" s="127"/>
      <c r="BZ17" s="11">
        <f>IF(BZ16&lt;=BI3,1,MATCH(BZ16,BI3:BT3))</f>
        <v>10</v>
      </c>
      <c r="CA17" s="31"/>
      <c r="CB17" s="30" t="s">
        <v>146</v>
      </c>
      <c r="CC17" s="48">
        <f>BZ16</f>
        <v>18.808333333333334</v>
      </c>
      <c r="CD17" s="49">
        <f ca="1">CD16+(CD18-CD16)/(CC18-CC16)*(CC17-CC16)</f>
        <v>2.9432666666666663E-2</v>
      </c>
      <c r="CO17" s="2" t="s">
        <v>11</v>
      </c>
      <c r="CP17" s="12">
        <v>41708</v>
      </c>
      <c r="CR17" s="2" t="s">
        <v>11</v>
      </c>
      <c r="CS17" s="12">
        <v>41708</v>
      </c>
    </row>
    <row r="18" spans="1:97" x14ac:dyDescent="0.2">
      <c r="A18" s="2" t="s">
        <v>12</v>
      </c>
      <c r="B18" s="4">
        <v>108.375</v>
      </c>
      <c r="G18" s="11">
        <f>IF(ROWS($G$7:G18)&gt;$AL$7,"",ROWS($G$7:G18))</f>
        <v>12</v>
      </c>
      <c r="H18" s="14">
        <f t="shared" si="6"/>
        <v>43830</v>
      </c>
      <c r="I18" s="19">
        <f t="shared" si="7"/>
        <v>40</v>
      </c>
      <c r="N18" s="68" t="str">
        <f ca="1">IF(ROWS($N$8:$N18)&gt;$AL$27+2,"",IF(ROWS($N$8:$N18)=$AL$27+2,ROWS($N$8:$N18)-1,IF(ROWS($N$8:$N18)&lt;=$AL$27,ROWS($N$8:$N18),"Sale")))</f>
        <v/>
      </c>
      <c r="O18" s="33" t="str">
        <f t="shared" ca="1" si="8"/>
        <v/>
      </c>
      <c r="P18" s="73" t="str">
        <f ca="1">IF($N18="Sale",-$AL$40,IF(ROWS($P$8:$P18)=$AL$27+2,"",IF($N18="","",$AL$4)))</f>
        <v/>
      </c>
      <c r="AE18" s="7">
        <v>14</v>
      </c>
      <c r="AF18" s="14">
        <f>IF(EDATE($AF$5,-($AE18-1)*$AL$3)&lt;=$B$17,"",EDATE($AF$5,-($AE18-1)*$AL$3))</f>
        <v>46203</v>
      </c>
      <c r="AH18" s="11">
        <f>IF(($AL$7-ROWS($AH$5:AH18)+1)&gt;=0,$AL$7-ROWS($AH$5:AH18)+1,"")</f>
        <v>25</v>
      </c>
      <c r="AI18" s="24">
        <f t="shared" ca="1" si="2"/>
        <v>1066.9272768040864</v>
      </c>
      <c r="AK18" s="2" t="s">
        <v>58</v>
      </c>
      <c r="AL18" s="23">
        <f ca="1">$AL$17*$AL$2</f>
        <v>7.1799020599279825E-2</v>
      </c>
      <c r="BH18" s="40" t="s">
        <v>13</v>
      </c>
      <c r="BI18" s="29">
        <f>BC10</f>
        <v>16.780555555555555</v>
      </c>
      <c r="BJ18" s="38">
        <f ca="1">IF(B32=AB22,CE43,CD22)</f>
        <v>3.9267943451253312E-2</v>
      </c>
      <c r="BW18" s="127" t="s">
        <v>142</v>
      </c>
      <c r="BX18" s="127"/>
      <c r="BY18" s="127"/>
      <c r="BZ18" s="11">
        <f>IF(BZ16&gt;=BT3,BZ17-1,BZ17+1)</f>
        <v>11</v>
      </c>
      <c r="CA18" s="31"/>
      <c r="CB18" s="11" t="s">
        <v>147</v>
      </c>
      <c r="CC18" s="11" cm="1">
        <f t="array" ref="CC18">INDEX(BI3:BT3,BZ18)</f>
        <v>20</v>
      </c>
      <c r="CD18" s="38" cm="1">
        <f t="array" aca="1" ref="CD18" ca="1">INDEX(BI6:BT6,BZ18)</f>
        <v>3.0099999999999995E-2</v>
      </c>
      <c r="CO18" s="36" t="s">
        <v>12</v>
      </c>
      <c r="CP18" s="4">
        <v>108.375</v>
      </c>
      <c r="CR18" s="36" t="s">
        <v>12</v>
      </c>
      <c r="CS18" s="4">
        <v>108.375</v>
      </c>
    </row>
    <row r="19" spans="1:97" x14ac:dyDescent="0.2">
      <c r="A19" s="2" t="str">
        <f>IF(B14=AB20,"","OCC (%)")</f>
        <v>OCC (%)</v>
      </c>
      <c r="B19" s="20">
        <v>7</v>
      </c>
      <c r="D19" s="111" t="s">
        <v>72</v>
      </c>
      <c r="E19" s="111"/>
      <c r="G19" s="11">
        <f>IF(ROWS($G$7:G19)&gt;$AL$7,"",ROWS($G$7:G19))</f>
        <v>13</v>
      </c>
      <c r="H19" s="14">
        <f t="shared" si="6"/>
        <v>44012</v>
      </c>
      <c r="I19" s="19">
        <f t="shared" si="7"/>
        <v>40</v>
      </c>
      <c r="N19" s="68" t="str">
        <f ca="1">IF(ROWS($N$8:$N19)&gt;$AL$27+2,"",IF(ROWS($N$8:$N19)=$AL$27+2,ROWS($N$8:$N19)-1,IF(ROWS($N$8:$N19)&lt;=$AL$27,ROWS($N$8:$N19),"Sale")))</f>
        <v/>
      </c>
      <c r="O19" s="33" t="str">
        <f t="shared" ca="1" si="8"/>
        <v/>
      </c>
      <c r="P19" s="73" t="str">
        <f ca="1">IF($N19="Sale",-$AL$40,IF(ROWS($P$8:$P19)=$AL$27+2,"",IF($N19="","",$AL$4)))</f>
        <v/>
      </c>
      <c r="AA19" s="114" t="s">
        <v>27</v>
      </c>
      <c r="AB19" s="7" t="s">
        <v>28</v>
      </c>
      <c r="AE19" s="7">
        <v>15</v>
      </c>
      <c r="AF19" s="14">
        <f t="shared" si="4"/>
        <v>46022</v>
      </c>
      <c r="AH19" s="11">
        <f>IF(($AL$7-ROWS($AH$5:AH19)+1)&gt;=0,$AL$7-ROWS($AH$5:AH19)+1,"")</f>
        <v>24</v>
      </c>
      <c r="AI19" s="24">
        <f t="shared" ca="1" si="2"/>
        <v>1065.2294435666813</v>
      </c>
      <c r="AK19" s="2" t="s">
        <v>60</v>
      </c>
      <c r="AL19" s="23">
        <f>IF(B14=AB19,B19/100,IF(AND(B14=AB20,B32=AB22),CD17,IF(AND(B14=AB20,B32=AB23),BY43)))</f>
        <v>7.0000000000000007E-2</v>
      </c>
      <c r="BH19" s="51"/>
      <c r="BI19" s="29">
        <f>BC10</f>
        <v>16.780555555555555</v>
      </c>
      <c r="BJ19" s="38">
        <v>0</v>
      </c>
      <c r="BW19" s="40"/>
      <c r="BX19" s="31"/>
      <c r="BY19" s="31"/>
      <c r="BZ19" s="31"/>
      <c r="CA19" s="31"/>
      <c r="CB19" s="31"/>
      <c r="CC19" s="31"/>
      <c r="CD19" s="41"/>
      <c r="CO19" s="2" t="str">
        <f>IF(CP14=DP20,"","OCC (%)")</f>
        <v>OCC (%)</v>
      </c>
      <c r="CP19" s="20">
        <v>7</v>
      </c>
      <c r="CR19" s="2" t="str">
        <f>IF(CS14=DS20,"","OCC (%)")</f>
        <v>OCC (%)</v>
      </c>
      <c r="CS19" s="20">
        <v>7</v>
      </c>
    </row>
    <row r="20" spans="1:97" x14ac:dyDescent="0.2">
      <c r="A20" s="2" t="str">
        <f>IF(B14=AB19,"","Yeild Curve Shift (%)")</f>
        <v/>
      </c>
      <c r="B20" s="56">
        <v>0.2</v>
      </c>
      <c r="D20" s="2" t="s">
        <v>79</v>
      </c>
      <c r="E20" s="59">
        <f>AL39*100</f>
        <v>8.5</v>
      </c>
      <c r="G20" s="11">
        <f>IF(ROWS($G$7:G20)&gt;$AL$7,"",ROWS($G$7:G20))</f>
        <v>14</v>
      </c>
      <c r="H20" s="14">
        <f t="shared" si="6"/>
        <v>44196</v>
      </c>
      <c r="I20" s="19">
        <f t="shared" si="7"/>
        <v>40</v>
      </c>
      <c r="N20" s="68" t="str">
        <f ca="1">IF(ROWS($N$8:$N20)&gt;$AL$27+2,"",IF(ROWS($N$8:$N20)=$AL$27+2,ROWS($N$8:$N20)-1,IF(ROWS($N$8:$N20)&lt;=$AL$27,ROWS($N$8:$N20),"Sale")))</f>
        <v/>
      </c>
      <c r="O20" s="33" t="str">
        <f t="shared" ca="1" si="8"/>
        <v/>
      </c>
      <c r="P20" s="73" t="str">
        <f ca="1">IF($N20="Sale",-$AL$40,IF(ROWS($P$8:$P20)=$AL$27+2,"",IF($N20="","",$AL$4)))</f>
        <v/>
      </c>
      <c r="AA20" s="114"/>
      <c r="AB20" s="7" t="s">
        <v>29</v>
      </c>
      <c r="AE20" s="7">
        <v>16</v>
      </c>
      <c r="AF20" s="14">
        <f t="shared" si="4"/>
        <v>45838</v>
      </c>
      <c r="AH20" s="11">
        <f>IF(($AL$7-ROWS($AH$5:AH20)+1)&gt;=0,$AL$7-ROWS($AH$5:AH20)+1,"")</f>
        <v>23</v>
      </c>
      <c r="AI20" s="24">
        <f t="shared" ca="1" si="2"/>
        <v>1063.4706589474831</v>
      </c>
      <c r="AK20" s="2" t="s">
        <v>59</v>
      </c>
      <c r="AL20" s="23">
        <f>$AL$19/$AL$2</f>
        <v>3.5000000000000003E-2</v>
      </c>
      <c r="BW20" s="129" t="s">
        <v>16</v>
      </c>
      <c r="BX20" s="129"/>
      <c r="BY20" s="129"/>
      <c r="BZ20" s="129"/>
      <c r="CA20" s="31"/>
      <c r="CB20" s="11"/>
      <c r="CC20" s="11" t="s">
        <v>143</v>
      </c>
      <c r="CD20" s="11" t="s">
        <v>144</v>
      </c>
      <c r="CO20" s="2" t="str">
        <f>IF(CP14=DP19,"","Yeild Curve Shift (%)")</f>
        <v>Yeild Curve Shift (%)</v>
      </c>
      <c r="CP20" s="56">
        <v>0.2</v>
      </c>
      <c r="CR20" s="2" t="str">
        <f>IF(CS14=DS19,"","Yeild Curve Shift (%)")</f>
        <v>Yeild Curve Shift (%)</v>
      </c>
      <c r="CS20" s="56">
        <v>0.2</v>
      </c>
    </row>
    <row r="21" spans="1:97" x14ac:dyDescent="0.2">
      <c r="D21" s="2" t="s">
        <v>66</v>
      </c>
      <c r="E21" s="61">
        <f ca="1">AL41</f>
        <v>955.52317186335665</v>
      </c>
      <c r="G21" s="11">
        <f>IF(ROWS($G$7:G21)&gt;$AL$7,"",ROWS($G$7:G21))</f>
        <v>15</v>
      </c>
      <c r="H21" s="14">
        <f t="shared" si="6"/>
        <v>44377</v>
      </c>
      <c r="I21" s="19">
        <f t="shared" si="7"/>
        <v>40</v>
      </c>
      <c r="N21" s="68" t="str">
        <f ca="1">IF(ROWS($N$8:$N21)&gt;$AL$27+2,"",IF(ROWS($N$8:$N21)=$AL$27+2,ROWS($N$8:$N21)-1,IF(ROWS($N$8:$N21)&lt;=$AL$27,ROWS($N$8:$N21),"Sale")))</f>
        <v/>
      </c>
      <c r="O21" s="33" t="str">
        <f t="shared" ca="1" si="8"/>
        <v/>
      </c>
      <c r="P21" s="73" t="str">
        <f ca="1">IF($N21="Sale",-$AL$40,IF(ROWS($P$8:$P21)=$AL$27+2,"",IF($N21="","",$AL$4)))</f>
        <v/>
      </c>
      <c r="AE21" s="7">
        <v>17</v>
      </c>
      <c r="AF21" s="14">
        <f t="shared" si="4"/>
        <v>45657</v>
      </c>
      <c r="AH21" s="11">
        <f>IF(($AL$7-ROWS($AH$5:AH21)+1)&gt;=0,$AL$7-ROWS($AH$5:AH21)+1,"")</f>
        <v>22</v>
      </c>
      <c r="AI21" s="24">
        <f t="shared" ca="1" si="2"/>
        <v>1061.6487348217333</v>
      </c>
      <c r="AK21" s="2" t="s">
        <v>62</v>
      </c>
      <c r="AL21" s="18">
        <f>(1+$AL$20)^$AL$12*-PV($AL$20,$AL$7,$AL$4,$B$9)</f>
        <v>1118.7817506385747</v>
      </c>
      <c r="BW21" s="105" t="s">
        <v>140</v>
      </c>
      <c r="BX21" s="105"/>
      <c r="BY21" s="105"/>
      <c r="BZ21" s="29">
        <f>BC10</f>
        <v>16.780555555555555</v>
      </c>
      <c r="CA21" s="31"/>
      <c r="CB21" s="11" t="s">
        <v>145</v>
      </c>
      <c r="CC21" s="11" cm="1">
        <f t="array" ref="CC21">INDEX(BI3:BT3,BZ22)</f>
        <v>10</v>
      </c>
      <c r="CD21" s="38" cm="1">
        <f t="array" aca="1" ref="CD21" ca="1">INDEX(BI7:BT7,BZ22)</f>
        <v>3.4500000000000003E-2</v>
      </c>
    </row>
    <row r="22" spans="1:97" x14ac:dyDescent="0.2">
      <c r="A22" s="109" t="s">
        <v>14</v>
      </c>
      <c r="B22" s="109"/>
      <c r="D22" s="2" t="s">
        <v>67</v>
      </c>
      <c r="E22" s="61">
        <f ca="1">AL40</f>
        <v>973.10558944577429</v>
      </c>
      <c r="G22" s="11">
        <f>IF(ROWS($G$7:G22)&gt;$AL$7,"",ROWS($G$7:G22))</f>
        <v>16</v>
      </c>
      <c r="H22" s="14">
        <f t="shared" si="6"/>
        <v>44561</v>
      </c>
      <c r="I22" s="19">
        <f t="shared" si="7"/>
        <v>40</v>
      </c>
      <c r="N22" s="68" t="str">
        <f ca="1">IF(ROWS($N$8:$N22)&gt;$AL$27+2,"",IF(ROWS($N$8:$N22)=$AL$27+2,ROWS($N$8:$N22)-1,IF(ROWS($N$8:$N22)&lt;=$AL$27,ROWS($N$8:$N22),"Sale")))</f>
        <v/>
      </c>
      <c r="O22" s="33" t="str">
        <f t="shared" ca="1" si="8"/>
        <v/>
      </c>
      <c r="P22" s="73" t="str">
        <f ca="1">IF($N22="Sale",-$AL$40,IF(ROWS($P$8:$P22)=$AL$27+2,"",IF($N22="","",$AL$4)))</f>
        <v/>
      </c>
      <c r="AA22" s="114" t="s">
        <v>30</v>
      </c>
      <c r="AB22" s="7" t="s">
        <v>31</v>
      </c>
      <c r="AE22" s="7">
        <v>18</v>
      </c>
      <c r="AF22" s="14">
        <f t="shared" si="4"/>
        <v>45473</v>
      </c>
      <c r="AH22" s="11">
        <f>IF(($AL$7-ROWS($AH$5:AH22)+1)&gt;=0,$AL$7-ROWS($AH$5:AH22)+1,"")</f>
        <v>21</v>
      </c>
      <c r="AI22" s="24">
        <f t="shared" ca="1" si="2"/>
        <v>1059.7614045120658</v>
      </c>
      <c r="AK22" s="2" t="s">
        <v>61</v>
      </c>
      <c r="AL22" s="18">
        <f>$AL$21-$AL$13</f>
        <v>1103.5331318540443</v>
      </c>
      <c r="BW22" s="127" t="s">
        <v>141</v>
      </c>
      <c r="BX22" s="127"/>
      <c r="BY22" s="127"/>
      <c r="BZ22" s="11">
        <f>IF(BZ21&lt;=BI3,1,MATCH(BZ21,BI3:BT3))</f>
        <v>10</v>
      </c>
      <c r="CA22" s="31"/>
      <c r="CB22" s="30" t="s">
        <v>146</v>
      </c>
      <c r="CC22" s="48">
        <f>BZ21</f>
        <v>16.780555555555555</v>
      </c>
      <c r="CD22" s="49">
        <f ca="1">CD21+(CD23-CD21)/(CC23-CC21)*(CC22-CC21)</f>
        <v>3.8297111111111108E-2</v>
      </c>
      <c r="CO22" s="109" t="s">
        <v>14</v>
      </c>
      <c r="CP22" s="109"/>
      <c r="CR22" s="109" t="s">
        <v>14</v>
      </c>
      <c r="CS22" s="109"/>
    </row>
    <row r="23" spans="1:97" x14ac:dyDescent="0.2">
      <c r="A23" s="1" t="s">
        <v>15</v>
      </c>
      <c r="B23" s="35">
        <v>0.1</v>
      </c>
      <c r="G23" s="11">
        <f>IF(ROWS($G$7:G23)&gt;$AL$7,"",ROWS($G$7:G23))</f>
        <v>17</v>
      </c>
      <c r="H23" s="14">
        <f t="shared" si="6"/>
        <v>44742</v>
      </c>
      <c r="I23" s="19">
        <f t="shared" si="7"/>
        <v>40</v>
      </c>
      <c r="N23" s="68" t="str">
        <f ca="1">IF(ROWS($N$8:$N23)&gt;$AL$27+2,"",IF(ROWS($N$8:$N23)=$AL$27+2,ROWS($N$8:$N23)-1,IF(ROWS($N$8:$N23)&lt;=$AL$27,ROWS($N$8:$N23),"Sale")))</f>
        <v/>
      </c>
      <c r="O23" s="33" t="str">
        <f t="shared" ca="1" si="8"/>
        <v/>
      </c>
      <c r="P23" s="73" t="str">
        <f ca="1">IF($N23="Sale",-$AL$40,IF(ROWS($P$8:$P23)=$AL$27+2,"",IF($N23="","",$AL$4)))</f>
        <v/>
      </c>
      <c r="AA23" s="114"/>
      <c r="AB23" s="7" t="s">
        <v>32</v>
      </c>
      <c r="AE23" s="7">
        <v>19</v>
      </c>
      <c r="AF23" s="14">
        <f t="shared" si="4"/>
        <v>45291</v>
      </c>
      <c r="AH23" s="11">
        <f>IF(($AL$7-ROWS($AH$5:AH23)+1)&gt;=0,$AL$7-ROWS($AH$5:AH23)+1,"")</f>
        <v>20</v>
      </c>
      <c r="AI23" s="24">
        <f t="shared" ca="1" si="2"/>
        <v>1057.8063199685075</v>
      </c>
      <c r="AK23" s="2" t="s">
        <v>63</v>
      </c>
      <c r="AL23" s="23">
        <f ca="1">($AL$18+B23%)/$AL$2</f>
        <v>3.6399510299639913E-2</v>
      </c>
      <c r="BW23" s="127" t="s">
        <v>142</v>
      </c>
      <c r="BX23" s="127"/>
      <c r="BY23" s="127"/>
      <c r="BZ23" s="11">
        <f>IF(BZ21&gt;=BT3,BZ22-1,BZ22+1)</f>
        <v>11</v>
      </c>
      <c r="CA23" s="42"/>
      <c r="CB23" s="11" t="s">
        <v>147</v>
      </c>
      <c r="CC23" s="11" cm="1">
        <f t="array" ref="CC23">INDEX(BI3:BT3,BZ23)</f>
        <v>20</v>
      </c>
      <c r="CD23" s="38" cm="1">
        <f t="array" aca="1" ref="CD23" ca="1">INDEX(BI7:BT7,BZ23)</f>
        <v>4.0099999999999997E-2</v>
      </c>
      <c r="CO23" s="1" t="s">
        <v>15</v>
      </c>
      <c r="CP23" s="35">
        <v>0.1</v>
      </c>
      <c r="CR23" s="1" t="s">
        <v>15</v>
      </c>
      <c r="CS23" s="35">
        <v>0.1</v>
      </c>
    </row>
    <row r="24" spans="1:97" x14ac:dyDescent="0.2">
      <c r="D24" s="2" t="s">
        <v>68</v>
      </c>
      <c r="E24" s="59">
        <f>AL42*100</f>
        <v>8</v>
      </c>
      <c r="G24" s="11">
        <f>IF(ROWS($G$7:G24)&gt;$AL$7,"",ROWS($G$7:G24))</f>
        <v>18</v>
      </c>
      <c r="H24" s="14">
        <f t="shared" si="6"/>
        <v>44926</v>
      </c>
      <c r="I24" s="19">
        <f t="shared" si="7"/>
        <v>40</v>
      </c>
      <c r="N24" s="68" t="str">
        <f ca="1">IF(ROWS($N$8:$N24)&gt;$AL$27+2,"",IF(ROWS($N$8:$N24)=$AL$27+2,ROWS($N$8:$N24)-1,IF(ROWS($N$8:$N24)&lt;=$AL$27,ROWS($N$8:$N24),"Sale")))</f>
        <v/>
      </c>
      <c r="O24" s="33" t="str">
        <f t="shared" ca="1" si="8"/>
        <v/>
      </c>
      <c r="P24" s="73" t="str">
        <f ca="1">IF($N24="Sale",-$AL$40,IF(ROWS($P$8:$P24)=$AL$27+2,"",IF($N24="","",$AL$4)))</f>
        <v/>
      </c>
      <c r="AE24" s="7">
        <v>20</v>
      </c>
      <c r="AF24" s="14">
        <f t="shared" si="4"/>
        <v>45107</v>
      </c>
      <c r="AH24" s="11">
        <f>IF(($AL$7-ROWS($AH$5:AH24)+1)&gt;=0,$AL$7-ROWS($AH$5:AH24)+1,"")</f>
        <v>19</v>
      </c>
      <c r="AI24" s="24">
        <f t="shared" ca="1" si="2"/>
        <v>1055.7810488472412</v>
      </c>
      <c r="AK24" s="2" t="s">
        <v>64</v>
      </c>
      <c r="AL24" s="18">
        <f ca="1">(1+$AL$23)^$AL$12*-PV($AL$23,$AL$7,$AL$4,$B$9)</f>
        <v>1088.2238597381063</v>
      </c>
    </row>
    <row r="25" spans="1:97" ht="15" customHeight="1" x14ac:dyDescent="0.2">
      <c r="A25" s="109" t="s">
        <v>16</v>
      </c>
      <c r="B25" s="109"/>
      <c r="D25" s="2" t="s">
        <v>69</v>
      </c>
      <c r="E25" s="61">
        <f ca="1">AL45</f>
        <v>999.80692063727201</v>
      </c>
      <c r="G25" s="11">
        <f>IF(ROWS($G$7:G25)&gt;$AL$7,"",ROWS($G$7:G25))</f>
        <v>19</v>
      </c>
      <c r="H25" s="14">
        <f t="shared" si="6"/>
        <v>45107</v>
      </c>
      <c r="I25" s="19">
        <f t="shared" si="7"/>
        <v>40</v>
      </c>
      <c r="N25" s="68" t="str">
        <f ca="1">IF(ROWS($N$8:$N25)&gt;$AL$27+2,"",IF(ROWS($N$8:$N25)=$AL$27+2,ROWS($N$8:$N25)-1,IF(ROWS($N$8:$N25)&lt;=$AL$27,ROWS($N$8:$N25),"Sale")))</f>
        <v/>
      </c>
      <c r="O25" s="33" t="str">
        <f t="shared" ca="1" si="8"/>
        <v/>
      </c>
      <c r="P25" s="73" t="str">
        <f ca="1">IF($N25="Sale",-$AL$40,IF(ROWS($P$8:$P25)=$AL$27+2,"",IF($N25="","",$AL$4)))</f>
        <v/>
      </c>
      <c r="AA25" s="115" t="s">
        <v>163</v>
      </c>
      <c r="AB25" s="7" t="s">
        <v>12</v>
      </c>
      <c r="AE25" s="7">
        <v>21</v>
      </c>
      <c r="AF25" s="14">
        <f t="shared" si="4"/>
        <v>44926</v>
      </c>
      <c r="AH25" s="11">
        <f>IF(($AL$7-ROWS($AH$5:AH25)+1)&gt;=0,$AL$7-ROWS($AH$5:AH25)+1,"")</f>
        <v>18</v>
      </c>
      <c r="AI25" s="24">
        <f t="shared" ca="1" si="2"/>
        <v>1053.6830714844973</v>
      </c>
      <c r="BW25" s="124" t="s">
        <v>149</v>
      </c>
      <c r="BX25" s="125"/>
      <c r="BY25" s="125"/>
      <c r="BZ25" s="125"/>
      <c r="CA25" s="126"/>
      <c r="CB25" s="37"/>
      <c r="CC25" s="124" t="s">
        <v>159</v>
      </c>
      <c r="CD25" s="125"/>
      <c r="CE25" s="125"/>
      <c r="CF25" s="125"/>
      <c r="CG25" s="126"/>
      <c r="CO25" s="109" t="s">
        <v>16</v>
      </c>
      <c r="CP25" s="109"/>
      <c r="CR25" s="109" t="s">
        <v>16</v>
      </c>
      <c r="CS25" s="109"/>
    </row>
    <row r="26" spans="1:97" ht="16" thickBot="1" x14ac:dyDescent="0.25">
      <c r="A26" s="2" t="s">
        <v>17</v>
      </c>
      <c r="B26" s="25">
        <v>42449</v>
      </c>
      <c r="D26" s="2" t="s">
        <v>70</v>
      </c>
      <c r="E26" s="61">
        <f ca="1">AL44</f>
        <v>1017.3893382196896</v>
      </c>
      <c r="G26" s="11">
        <f>IF(ROWS($G$7:G26)&gt;$AL$7,"",ROWS($G$7:G26))</f>
        <v>20</v>
      </c>
      <c r="H26" s="14">
        <f t="shared" si="6"/>
        <v>45291</v>
      </c>
      <c r="I26" s="19">
        <f t="shared" si="7"/>
        <v>40</v>
      </c>
      <c r="N26" s="68" t="str">
        <f ca="1">IF(ROWS($N$8:$N26)&gt;$AL$27+2,"",IF(ROWS($N$8:$N26)=$AL$27+2,ROWS($N$8:$N26)-1,IF(ROWS($N$8:$N26)&lt;=$AL$27,ROWS($N$8:$N26),"Sale")))</f>
        <v/>
      </c>
      <c r="O26" s="33" t="str">
        <f t="shared" ca="1" si="8"/>
        <v/>
      </c>
      <c r="P26" s="73" t="str">
        <f ca="1">IF($N26="Sale",-$AL$40,IF(ROWS($P$8:$P26)=$AL$27+2,"",IF($N26="","",$AL$4)))</f>
        <v/>
      </c>
      <c r="AA26" s="115"/>
      <c r="AB26" s="7" t="s">
        <v>18</v>
      </c>
      <c r="AE26" s="7">
        <v>22</v>
      </c>
      <c r="AF26" s="14">
        <f t="shared" si="4"/>
        <v>44742</v>
      </c>
      <c r="AH26" s="11">
        <f>IF(($AL$7-ROWS($AH$5:AH26)+1)&gt;=0,$AL$7-ROWS($AH$5:AH26)+1,"")</f>
        <v>17</v>
      </c>
      <c r="AI26" s="24">
        <f t="shared" ca="1" si="2"/>
        <v>1051.5097777618112</v>
      </c>
      <c r="AK26" s="106" t="s">
        <v>86</v>
      </c>
      <c r="AL26" s="106"/>
      <c r="BW26" s="82" t="s">
        <v>111</v>
      </c>
      <c r="BX26" s="82" t="s">
        <v>150</v>
      </c>
      <c r="BY26" s="82" t="s">
        <v>151</v>
      </c>
      <c r="BZ26" s="82" t="s">
        <v>152</v>
      </c>
      <c r="CA26" s="82" t="s">
        <v>153</v>
      </c>
      <c r="CC26" s="82" t="s">
        <v>111</v>
      </c>
      <c r="CD26" s="82" t="s">
        <v>150</v>
      </c>
      <c r="CE26" s="82" t="s">
        <v>151</v>
      </c>
      <c r="CF26" s="82" t="s">
        <v>152</v>
      </c>
      <c r="CG26" s="82" t="s">
        <v>153</v>
      </c>
      <c r="CO26" s="2" t="s">
        <v>17</v>
      </c>
      <c r="CP26" s="25">
        <v>42449</v>
      </c>
      <c r="CR26" s="2" t="s">
        <v>17</v>
      </c>
      <c r="CS26" s="25">
        <v>42449</v>
      </c>
    </row>
    <row r="27" spans="1:97" x14ac:dyDescent="0.2">
      <c r="A27" s="3" t="s">
        <v>13</v>
      </c>
      <c r="B27" s="27">
        <v>8</v>
      </c>
      <c r="G27" s="11">
        <f>IF(ROWS($G$7:G27)&gt;$AL$7,"",ROWS($G$7:G27))</f>
        <v>21</v>
      </c>
      <c r="H27" s="14">
        <f t="shared" si="6"/>
        <v>45473</v>
      </c>
      <c r="I27" s="19">
        <f t="shared" si="7"/>
        <v>40</v>
      </c>
      <c r="N27" s="68" t="str">
        <f ca="1">IF(ROWS($N$8:$N27)&gt;$AL$27+2,"",IF(ROWS($N$8:$N27)=$AL$27+2,ROWS($N$8:$N27)-1,IF(ROWS($N$8:$N27)&lt;=$AL$27,ROWS($N$8:$N27),"Sale")))</f>
        <v/>
      </c>
      <c r="O27" s="33" t="str">
        <f t="shared" ca="1" si="8"/>
        <v/>
      </c>
      <c r="P27" s="73" t="str">
        <f ca="1">IF($N27="Sale",-$AL$40,IF(ROWS($P$8:$P27)=$AL$27+2,"",IF($N27="","",$AL$4)))</f>
        <v/>
      </c>
      <c r="AE27" s="7">
        <v>23</v>
      </c>
      <c r="AF27" s="14">
        <f t="shared" si="4"/>
        <v>44561</v>
      </c>
      <c r="AH27" s="11">
        <f>IF(($AL$7-ROWS($AH$5:AH27)+1)&gt;=0,$AL$7-ROWS($AH$5:AH27)+1,"")</f>
        <v>16</v>
      </c>
      <c r="AI27" s="24">
        <f t="shared" ca="1" si="2"/>
        <v>1049.2584638587434</v>
      </c>
      <c r="AK27" s="2" t="s">
        <v>87</v>
      </c>
      <c r="AL27" s="11">
        <f ca="1">MATCH(B26,H6:H106)-MATCH(B17,H6:H106)</f>
        <v>4</v>
      </c>
      <c r="BL27" s="95" t="s">
        <v>195</v>
      </c>
      <c r="BM27" s="96"/>
      <c r="BN27" s="96"/>
      <c r="BO27" s="96"/>
      <c r="BP27" s="96"/>
      <c r="BQ27" s="96"/>
      <c r="BR27" s="96"/>
      <c r="BS27" s="97"/>
      <c r="BW27" s="43">
        <f>1/12</f>
        <v>8.3333333333333329E-2</v>
      </c>
      <c r="BX27" s="44">
        <f ca="1">HLOOKUP(BW27,$BI$3:$BT$6,4,FALSE)</f>
        <v>8.7999999999999988E-3</v>
      </c>
      <c r="BY27" s="45">
        <f>BW27</f>
        <v>8.3333333333333329E-2</v>
      </c>
      <c r="BZ27" s="45">
        <f>BY27^2</f>
        <v>6.9444444444444441E-3</v>
      </c>
      <c r="CA27" s="46">
        <f>BY27^3</f>
        <v>5.7870370370370367E-4</v>
      </c>
      <c r="CC27" s="43">
        <f>1/12</f>
        <v>8.3333333333333329E-2</v>
      </c>
      <c r="CD27" s="44">
        <f ca="1">HLOOKUP(CC27,$BI$3:$BT$7,5,FALSE)</f>
        <v>1.8799999999999997E-2</v>
      </c>
      <c r="CE27" s="45">
        <f>CC27</f>
        <v>8.3333333333333329E-2</v>
      </c>
      <c r="CF27" s="45">
        <f>CE27^2</f>
        <v>6.9444444444444441E-3</v>
      </c>
      <c r="CG27" s="46">
        <f>CE27^3</f>
        <v>5.7870370370370367E-4</v>
      </c>
      <c r="CO27" s="3" t="s">
        <v>13</v>
      </c>
      <c r="CP27" s="27">
        <v>8</v>
      </c>
      <c r="CR27" s="3" t="s">
        <v>13</v>
      </c>
      <c r="CS27" s="27">
        <v>8</v>
      </c>
    </row>
    <row r="28" spans="1:97" ht="16" thickBot="1" x14ac:dyDescent="0.25">
      <c r="A28" s="2" t="s">
        <v>18</v>
      </c>
      <c r="B28" s="27">
        <v>8.5</v>
      </c>
      <c r="D28" s="110" t="s">
        <v>73</v>
      </c>
      <c r="E28" s="110"/>
      <c r="G28" s="11">
        <f>IF(ROWS($G$7:G28)&gt;$AL$7,"",ROWS($G$7:G28))</f>
        <v>22</v>
      </c>
      <c r="H28" s="14">
        <f t="shared" si="6"/>
        <v>45657</v>
      </c>
      <c r="I28" s="19">
        <f t="shared" si="7"/>
        <v>40</v>
      </c>
      <c r="N28" s="68" t="str">
        <f ca="1">IF(ROWS($N$8:$N28)&gt;$AL$27+2,"",IF(ROWS($N$8:$N28)=$AL$27+2,ROWS($N$8:$N28)-1,IF(ROWS($N$8:$N28)&lt;=$AL$27,ROWS($N$8:$N28),"Sale")))</f>
        <v/>
      </c>
      <c r="O28" s="33" t="str">
        <f t="shared" ca="1" si="8"/>
        <v/>
      </c>
      <c r="P28" s="73" t="str">
        <f ca="1">IF($N28="Sale",-$AL$40,IF(ROWS($P$8:$P28)=$AL$27+2,"",IF($N28="","",$AL$4)))</f>
        <v/>
      </c>
      <c r="AE28" s="7">
        <v>24</v>
      </c>
      <c r="AF28" s="14">
        <f t="shared" si="4"/>
        <v>44377</v>
      </c>
      <c r="AH28" s="11">
        <f>IF(($AL$7-ROWS($AH$5:AH28)+1)&gt;=0,$AL$7-ROWS($AH$5:AH28)+1,"")</f>
        <v>15</v>
      </c>
      <c r="AI28" s="24">
        <f t="shared" ca="1" si="2"/>
        <v>1046.9263288890249</v>
      </c>
      <c r="BL28" s="98"/>
      <c r="BM28" s="99"/>
      <c r="BN28" s="99"/>
      <c r="BO28" s="99"/>
      <c r="BP28" s="99"/>
      <c r="BQ28" s="99"/>
      <c r="BR28" s="99"/>
      <c r="BS28" s="100"/>
      <c r="BW28" s="40">
        <f>2/12</f>
        <v>0.16666666666666666</v>
      </c>
      <c r="BX28" s="44">
        <f t="shared" ref="BX28:BX38" ca="1" si="9">HLOOKUP(BW28,$BI$3:$BT$6,4,FALSE)</f>
        <v>8.7999999999999988E-3</v>
      </c>
      <c r="BY28" s="45">
        <f t="shared" ref="BY28:BY38" si="10">BW28</f>
        <v>0.16666666666666666</v>
      </c>
      <c r="BZ28" s="45">
        <f t="shared" ref="BZ28:BZ38" si="11">BY28^2</f>
        <v>2.7777777777777776E-2</v>
      </c>
      <c r="CA28" s="46">
        <f t="shared" ref="CA28:CA38" si="12">BY28^3</f>
        <v>4.6296296296296294E-3</v>
      </c>
      <c r="CC28" s="40">
        <f>2/12</f>
        <v>0.16666666666666666</v>
      </c>
      <c r="CD28" s="44">
        <f t="shared" ref="CD28:CD38" ca="1" si="13">HLOOKUP(CC28,$BI$3:$BT$7,5,FALSE)</f>
        <v>1.8799999999999997E-2</v>
      </c>
      <c r="CE28" s="45">
        <f t="shared" ref="CE28:CE38" si="14">CC28</f>
        <v>0.16666666666666666</v>
      </c>
      <c r="CF28" s="45">
        <f t="shared" ref="CF28:CF38" si="15">CE28^2</f>
        <v>2.7777777777777776E-2</v>
      </c>
      <c r="CG28" s="46">
        <f t="shared" ref="CG28:CG38" si="16">CE28^3</f>
        <v>4.6296296296296294E-3</v>
      </c>
      <c r="CO28" s="2" t="s">
        <v>18</v>
      </c>
      <c r="CP28" s="27">
        <v>8.5</v>
      </c>
      <c r="CR28" s="2" t="s">
        <v>18</v>
      </c>
      <c r="CS28" s="27">
        <v>8.5</v>
      </c>
    </row>
    <row r="29" spans="1:97" x14ac:dyDescent="0.2">
      <c r="A29" s="2" t="str">
        <f>IF(B14=AB19,"","Yield Curve Shift (%)")</f>
        <v/>
      </c>
      <c r="B29" s="56">
        <v>1.2</v>
      </c>
      <c r="D29" s="2" t="s">
        <v>78</v>
      </c>
      <c r="E29" s="59">
        <f ca="1">AL48*100*AL2</f>
        <v>1.6228143997549775</v>
      </c>
      <c r="G29" s="11">
        <f>IF(ROWS($G$7:G29)&gt;$AL$7,"",ROWS($G$7:G29))</f>
        <v>23</v>
      </c>
      <c r="H29" s="14">
        <f t="shared" si="6"/>
        <v>45838</v>
      </c>
      <c r="I29" s="19">
        <f t="shared" si="7"/>
        <v>40</v>
      </c>
      <c r="N29" s="68" t="str">
        <f ca="1">IF(ROWS($N$8:$N29)&gt;$AL$27+2,"",IF(ROWS($N$8:$N29)=$AL$27+2,ROWS($N$8:$N29)-1,IF(ROWS($N$8:$N29)&lt;=$AL$27,ROWS($N$8:$N29),"Sale")))</f>
        <v/>
      </c>
      <c r="O29" s="33" t="str">
        <f t="shared" ca="1" si="8"/>
        <v/>
      </c>
      <c r="P29" s="73" t="str">
        <f ca="1">IF($N29="Sale",-$AL$40,IF(ROWS($P$8:$P29)=$AL$27+2,"",IF($N29="","",$AL$4)))</f>
        <v/>
      </c>
      <c r="AE29" s="7">
        <v>25</v>
      </c>
      <c r="AF29" s="14">
        <f t="shared" si="4"/>
        <v>44196</v>
      </c>
      <c r="AH29" s="11">
        <f>IF(($AL$7-ROWS($AH$5:AH29)+1)&gt;=0,$AL$7-ROWS($AH$5:AH29)+1,"")</f>
        <v>14</v>
      </c>
      <c r="AI29" s="24">
        <f t="shared" ca="1" si="2"/>
        <v>1044.5104714159406</v>
      </c>
      <c r="AK29" s="106" t="s">
        <v>88</v>
      </c>
      <c r="AL29" s="106"/>
      <c r="BW29" s="40">
        <f>3/12</f>
        <v>0.25</v>
      </c>
      <c r="BX29" s="44">
        <f t="shared" ca="1" si="9"/>
        <v>8.7999999999999988E-3</v>
      </c>
      <c r="BY29" s="45">
        <f t="shared" si="10"/>
        <v>0.25</v>
      </c>
      <c r="BZ29" s="45">
        <f t="shared" si="11"/>
        <v>6.25E-2</v>
      </c>
      <c r="CA29" s="46">
        <f t="shared" si="12"/>
        <v>1.5625E-2</v>
      </c>
      <c r="CC29" s="40">
        <f>3/12</f>
        <v>0.25</v>
      </c>
      <c r="CD29" s="44">
        <f t="shared" ca="1" si="13"/>
        <v>1.8799999999999997E-2</v>
      </c>
      <c r="CE29" s="45">
        <f t="shared" si="14"/>
        <v>0.25</v>
      </c>
      <c r="CF29" s="45">
        <f t="shared" si="15"/>
        <v>6.25E-2</v>
      </c>
      <c r="CG29" s="46">
        <f t="shared" si="16"/>
        <v>1.5625E-2</v>
      </c>
      <c r="CO29" s="2" t="str">
        <f>IF(CP14=DP19,"","Yield Curve Shift (%)")</f>
        <v>Yield Curve Shift (%)</v>
      </c>
      <c r="CP29" s="56">
        <v>1.2</v>
      </c>
      <c r="CR29" s="2" t="str">
        <f>IF(CS14=DS19,"","Yield Curve Shift (%)")</f>
        <v>Yield Curve Shift (%)</v>
      </c>
      <c r="CS29" s="56">
        <v>1.2</v>
      </c>
    </row>
    <row r="30" spans="1:97" x14ac:dyDescent="0.2">
      <c r="A30" s="2" t="str">
        <f>IF(B14=AB19,"","Convergence Between YTM and OCC (%)")</f>
        <v/>
      </c>
      <c r="B30" s="57">
        <v>70</v>
      </c>
      <c r="D30" s="2" t="s">
        <v>77</v>
      </c>
      <c r="E30" s="59">
        <f ca="1">AL54*100*AL2</f>
        <v>1.9993751385462666</v>
      </c>
      <c r="G30" s="11">
        <f>IF(ROWS($G$7:G30)&gt;$AL$7,"",ROWS($G$7:G30))</f>
        <v>24</v>
      </c>
      <c r="H30" s="14">
        <f t="shared" si="6"/>
        <v>46022</v>
      </c>
      <c r="I30" s="19">
        <f t="shared" si="7"/>
        <v>40</v>
      </c>
      <c r="N30" s="68" t="str">
        <f ca="1">IF(ROWS($N$8:$N30)&gt;$AL$27+2,"",IF(ROWS($N$8:$N30)=$AL$27+2,ROWS($N$8:$N30)-1,IF(ROWS($N$8:$N30)&lt;=$AL$27,ROWS($N$8:$N30),"Sale")))</f>
        <v/>
      </c>
      <c r="O30" s="33" t="str">
        <f t="shared" ca="1" si="8"/>
        <v/>
      </c>
      <c r="P30" s="73" t="str">
        <f ca="1">IF($N30="Sale",-$AL$40,IF(ROWS($P$8:$P30)=$AL$27+2,"",IF($N30="","",$AL$4)))</f>
        <v/>
      </c>
      <c r="AE30" s="7">
        <v>26</v>
      </c>
      <c r="AF30" s="14">
        <f t="shared" si="4"/>
        <v>44012</v>
      </c>
      <c r="AH30" s="11">
        <f>IF(($AL$7-ROWS($AH$5:AH30)+1)&gt;=0,$AL$7-ROWS($AH$5:AH30)+1,"")</f>
        <v>13</v>
      </c>
      <c r="AI30" s="24">
        <f t="shared" ca="1" si="2"/>
        <v>1042.0078858426189</v>
      </c>
      <c r="AK30" s="2" t="s">
        <v>47</v>
      </c>
      <c r="AL30" s="11">
        <f ca="1">$AL$7-$AL$27</f>
        <v>34</v>
      </c>
      <c r="BW30" s="40">
        <f>6/12</f>
        <v>0.5</v>
      </c>
      <c r="BX30" s="44">
        <f t="shared" ca="1" si="9"/>
        <v>8.9999999999999976E-3</v>
      </c>
      <c r="BY30" s="45">
        <f t="shared" si="10"/>
        <v>0.5</v>
      </c>
      <c r="BZ30" s="45">
        <f t="shared" si="11"/>
        <v>0.25</v>
      </c>
      <c r="CA30" s="46">
        <f t="shared" si="12"/>
        <v>0.125</v>
      </c>
      <c r="CC30" s="40">
        <f>6/12</f>
        <v>0.5</v>
      </c>
      <c r="CD30" s="44">
        <f t="shared" ca="1" si="13"/>
        <v>1.9E-2</v>
      </c>
      <c r="CE30" s="45">
        <f t="shared" si="14"/>
        <v>0.5</v>
      </c>
      <c r="CF30" s="45">
        <f t="shared" si="15"/>
        <v>0.25</v>
      </c>
      <c r="CG30" s="46">
        <f t="shared" si="16"/>
        <v>0.125</v>
      </c>
      <c r="CO30" s="2" t="str">
        <f>IF(CP14=DP19,"","Convergence Between YTM and OCC (%)")</f>
        <v>Convergence Between YTM and OCC (%)</v>
      </c>
      <c r="CP30" s="57">
        <v>70</v>
      </c>
      <c r="CR30" s="2" t="str">
        <f>IF(CS14=DS19,"","Convergence Between YTM and OCC (%)")</f>
        <v>Convergence Between YTM and OCC (%)</v>
      </c>
      <c r="CS30" s="57">
        <v>70</v>
      </c>
    </row>
    <row r="31" spans="1:97" ht="16" thickBot="1" x14ac:dyDescent="0.25">
      <c r="G31" s="11">
        <f>IF(ROWS($G$7:G31)&gt;$AL$7,"",ROWS($G$7:G31))</f>
        <v>25</v>
      </c>
      <c r="H31" s="14">
        <f t="shared" si="6"/>
        <v>46203</v>
      </c>
      <c r="I31" s="19">
        <f t="shared" si="7"/>
        <v>40</v>
      </c>
      <c r="N31" s="68" t="str">
        <f ca="1">IF(ROWS($N$8:$N31)&gt;$AL$27+2,"",IF(ROWS($N$8:$N31)=$AL$27+2,ROWS($N$8:$N31)-1,IF(ROWS($N$8:$N31)&lt;=$AL$27,ROWS($N$8:$N31),"Sale")))</f>
        <v/>
      </c>
      <c r="O31" s="33" t="str">
        <f t="shared" ca="1" si="8"/>
        <v/>
      </c>
      <c r="P31" s="73" t="str">
        <f ca="1">IF($N31="Sale",-$AL$40,IF(ROWS($P$8:$P31)=$AL$27+2,"",IF($N31="","",$AL$4)))</f>
        <v/>
      </c>
      <c r="AE31" s="7">
        <v>27</v>
      </c>
      <c r="AF31" s="14">
        <f t="shared" si="4"/>
        <v>43830</v>
      </c>
      <c r="AH31" s="11">
        <f>IF(($AL$7-ROWS($AH$5:AH31)+1)&gt;=0,$AL$7-ROWS($AH$5:AH31)+1,"")</f>
        <v>12</v>
      </c>
      <c r="AI31" s="24">
        <f t="shared" ca="1" si="2"/>
        <v>1039.415458672732</v>
      </c>
      <c r="AK31" s="2" t="s">
        <v>48</v>
      </c>
      <c r="AL31" s="14">
        <f ca="1">IF(AL30=0,AF5,VLOOKUP(AL30,AE5:AF104,2))</f>
        <v>42551</v>
      </c>
      <c r="BW31" s="40">
        <f>1</f>
        <v>1</v>
      </c>
      <c r="BX31" s="44">
        <f t="shared" ca="1" si="9"/>
        <v>9.1999999999999981E-3</v>
      </c>
      <c r="BY31" s="45">
        <f t="shared" si="10"/>
        <v>1</v>
      </c>
      <c r="BZ31" s="45">
        <f t="shared" si="11"/>
        <v>1</v>
      </c>
      <c r="CA31" s="46">
        <f t="shared" si="12"/>
        <v>1</v>
      </c>
      <c r="CC31" s="40">
        <f>1</f>
        <v>1</v>
      </c>
      <c r="CD31" s="44">
        <f t="shared" ca="1" si="13"/>
        <v>1.9199999999999998E-2</v>
      </c>
      <c r="CE31" s="45">
        <f t="shared" si="14"/>
        <v>1</v>
      </c>
      <c r="CF31" s="45">
        <f t="shared" si="15"/>
        <v>1</v>
      </c>
      <c r="CG31" s="46">
        <f t="shared" si="16"/>
        <v>1</v>
      </c>
    </row>
    <row r="32" spans="1:97" x14ac:dyDescent="0.2">
      <c r="A32" s="2" t="str">
        <f>IF(B14=AB19,"","Yield Curve Fitting Method")</f>
        <v/>
      </c>
      <c r="B32" s="58" t="s">
        <v>181</v>
      </c>
      <c r="G32" s="11">
        <f>IF(ROWS($G$7:G32)&gt;$AL$7,"",ROWS($G$7:G32))</f>
        <v>26</v>
      </c>
      <c r="H32" s="14">
        <f t="shared" si="6"/>
        <v>46387</v>
      </c>
      <c r="I32" s="19">
        <f t="shared" si="7"/>
        <v>40</v>
      </c>
      <c r="N32" s="68" t="str">
        <f ca="1">IF(ROWS($N$8:$N32)&gt;$AL$27+2,"",IF(ROWS($N$8:$N32)=$AL$27+2,ROWS($N$8:$N32)-1,IF(ROWS($N$8:$N32)&lt;=$AL$27,ROWS($N$8:$N32),"Sale")))</f>
        <v/>
      </c>
      <c r="O32" s="33" t="str">
        <f t="shared" ca="1" si="8"/>
        <v/>
      </c>
      <c r="P32" s="73" t="str">
        <f ca="1">IF($N32="Sale",-$AL$40,IF(ROWS($P$8:$P32)=$AL$27+2,"",IF($N32="","",$AL$4)))</f>
        <v/>
      </c>
      <c r="AA32" s="89" t="s">
        <v>195</v>
      </c>
      <c r="AB32" s="91"/>
      <c r="AE32" s="7">
        <v>28</v>
      </c>
      <c r="AF32" s="14">
        <f t="shared" si="4"/>
        <v>43646</v>
      </c>
      <c r="AH32" s="11">
        <f>IF(($AL$7-ROWS($AH$5:AH32)+1)&gt;=0,$AL$7-ROWS($AH$5:AH32)+1,"")</f>
        <v>11</v>
      </c>
      <c r="AI32" s="24">
        <f t="shared" ca="1" si="2"/>
        <v>1036.7299646369586</v>
      </c>
      <c r="AK32" s="2" t="s">
        <v>49</v>
      </c>
      <c r="AL32" s="14">
        <f ca="1">EDATE(B6,-AL30*AL3)</f>
        <v>42369</v>
      </c>
      <c r="BW32" s="40">
        <f>2</f>
        <v>2</v>
      </c>
      <c r="BX32" s="44">
        <f t="shared" ca="1" si="9"/>
        <v>1.0199999999999999E-2</v>
      </c>
      <c r="BY32" s="45">
        <f t="shared" si="10"/>
        <v>2</v>
      </c>
      <c r="BZ32" s="45">
        <f t="shared" si="11"/>
        <v>4</v>
      </c>
      <c r="CA32" s="46">
        <f t="shared" si="12"/>
        <v>8</v>
      </c>
      <c r="CC32" s="40">
        <f>2</f>
        <v>2</v>
      </c>
      <c r="CD32" s="44">
        <f t="shared" ca="1" si="13"/>
        <v>2.0199999999999999E-2</v>
      </c>
      <c r="CE32" s="45">
        <f t="shared" si="14"/>
        <v>2</v>
      </c>
      <c r="CF32" s="45">
        <f t="shared" si="15"/>
        <v>4</v>
      </c>
      <c r="CG32" s="46">
        <f t="shared" si="16"/>
        <v>8</v>
      </c>
      <c r="CO32" s="2" t="str">
        <f>IF(CP14=DP19,"","Yield Curve Fitting Method")</f>
        <v>Yield Curve Fitting Method</v>
      </c>
      <c r="CP32" s="58" t="s">
        <v>162</v>
      </c>
      <c r="CR32" s="2" t="str">
        <f>IF(CS14=DS19,"","Yield Curve Fitting Method")</f>
        <v>Yield Curve Fitting Method</v>
      </c>
      <c r="CS32" s="58" t="s">
        <v>162</v>
      </c>
    </row>
    <row r="33" spans="1:96" ht="16" thickBot="1" x14ac:dyDescent="0.25">
      <c r="G33" s="11">
        <f>IF(ROWS($G$7:G33)&gt;$AL$7,"",ROWS($G$7:G33))</f>
        <v>27</v>
      </c>
      <c r="H33" s="14">
        <f t="shared" si="6"/>
        <v>46568</v>
      </c>
      <c r="I33" s="19">
        <f t="shared" si="7"/>
        <v>40</v>
      </c>
      <c r="N33" s="68" t="str">
        <f ca="1">IF(ROWS($N$8:$N33)&gt;$AL$27+2,"",IF(ROWS($N$8:$N33)=$AL$27+2,ROWS($N$8:$N33)-1,IF(ROWS($N$8:$N33)&lt;=$AL$27,ROWS($N$8:$N33),"Sale")))</f>
        <v/>
      </c>
      <c r="O33" s="33" t="str">
        <f t="shared" ca="1" si="8"/>
        <v/>
      </c>
      <c r="P33" s="73" t="str">
        <f ca="1">IF($N33="Sale",-$AL$40,IF(ROWS($P$8:$P33)=$AL$27+2,"",IF($N33="","",$AL$4)))</f>
        <v/>
      </c>
      <c r="AA33" s="92"/>
      <c r="AB33" s="94"/>
      <c r="AE33" s="7">
        <v>29</v>
      </c>
      <c r="AF33" s="14">
        <f t="shared" si="4"/>
        <v>43465</v>
      </c>
      <c r="AH33" s="11">
        <f>IF(($AL$7-ROWS($AH$5:AH33)+1)&gt;=0,$AL$7-ROWS($AH$5:AH33)+1,"")</f>
        <v>10</v>
      </c>
      <c r="AI33" s="24">
        <f t="shared" ca="1" si="2"/>
        <v>1033.9480626803884</v>
      </c>
      <c r="AK33" s="2" t="s">
        <v>50</v>
      </c>
      <c r="AL33" s="11">
        <f ca="1">_xlfn.DAYS(AL31,AL32)</f>
        <v>182</v>
      </c>
      <c r="BW33" s="40">
        <f>3</f>
        <v>3</v>
      </c>
      <c r="BX33" s="44">
        <f ca="1">HLOOKUP(BW33,$BI$3:$BT$6,4,FALSE)</f>
        <v>1.1999999999999999E-2</v>
      </c>
      <c r="BY33" s="45">
        <f t="shared" si="10"/>
        <v>3</v>
      </c>
      <c r="BZ33" s="45">
        <f t="shared" si="11"/>
        <v>9</v>
      </c>
      <c r="CA33" s="46">
        <f t="shared" si="12"/>
        <v>27</v>
      </c>
      <c r="CC33" s="40">
        <f>3</f>
        <v>3</v>
      </c>
      <c r="CD33" s="44">
        <f t="shared" ca="1" si="13"/>
        <v>2.1999999999999999E-2</v>
      </c>
      <c r="CE33" s="45">
        <f t="shared" si="14"/>
        <v>3</v>
      </c>
      <c r="CF33" s="45">
        <f t="shared" si="15"/>
        <v>9</v>
      </c>
      <c r="CG33" s="46">
        <f t="shared" si="16"/>
        <v>27</v>
      </c>
    </row>
    <row r="34" spans="1:96" ht="16" thickBot="1" x14ac:dyDescent="0.25">
      <c r="G34" s="11">
        <f>IF(ROWS($G$7:G34)&gt;$AL$7,"",ROWS($G$7:G34))</f>
        <v>28</v>
      </c>
      <c r="H34" s="14">
        <f t="shared" si="6"/>
        <v>46752</v>
      </c>
      <c r="I34" s="19">
        <f t="shared" si="7"/>
        <v>40</v>
      </c>
      <c r="N34" s="68" t="str">
        <f ca="1">IF(ROWS($N$8:$N34)&gt;$AL$27+2,"",IF(ROWS($N$8:$N34)=$AL$27+2,ROWS($N$8:$N34)-1,IF(ROWS($N$8:$N34)&lt;=$AL$27,ROWS($N$8:$N34),"Sale")))</f>
        <v/>
      </c>
      <c r="O34" s="33" t="str">
        <f t="shared" ca="1" si="8"/>
        <v/>
      </c>
      <c r="P34" s="73" t="str">
        <f ca="1">IF($N34="Sale",-$AL$40,IF(ROWS($P$8:$P34)=$AL$27+2,"",IF($N34="","",$AL$4)))</f>
        <v/>
      </c>
      <c r="AE34" s="7">
        <v>30</v>
      </c>
      <c r="AF34" s="14">
        <f t="shared" si="4"/>
        <v>43281</v>
      </c>
      <c r="AH34" s="11">
        <f>IF(($AL$7-ROWS($AH$5:AH34)+1)&gt;=0,$AL$7-ROWS($AH$5:AH34)+1,"")</f>
        <v>9</v>
      </c>
      <c r="AI34" s="24">
        <f t="shared" ca="1" si="2"/>
        <v>1031.0662918058756</v>
      </c>
      <c r="AK34" s="2" t="s">
        <v>51</v>
      </c>
      <c r="AL34" s="11">
        <f ca="1">_xlfn.DAYS($B$26,$AL$32)</f>
        <v>80</v>
      </c>
      <c r="BW34" s="40">
        <f>5</f>
        <v>5</v>
      </c>
      <c r="BX34" s="44">
        <f t="shared" ca="1" si="9"/>
        <v>1.6999999999999998E-2</v>
      </c>
      <c r="BY34" s="45">
        <f t="shared" si="10"/>
        <v>5</v>
      </c>
      <c r="BZ34" s="45">
        <f t="shared" si="11"/>
        <v>25</v>
      </c>
      <c r="CA34" s="46">
        <f t="shared" si="12"/>
        <v>125</v>
      </c>
      <c r="CC34" s="40">
        <f>5</f>
        <v>5</v>
      </c>
      <c r="CD34" s="44">
        <f t="shared" ca="1" si="13"/>
        <v>2.6999999999999996E-2</v>
      </c>
      <c r="CE34" s="45">
        <f t="shared" si="14"/>
        <v>5</v>
      </c>
      <c r="CF34" s="45">
        <f t="shared" si="15"/>
        <v>25</v>
      </c>
      <c r="CG34" s="46">
        <f t="shared" si="16"/>
        <v>125</v>
      </c>
    </row>
    <row r="35" spans="1:96" ht="16" thickBot="1" x14ac:dyDescent="0.25">
      <c r="A35" s="119" t="s">
        <v>193</v>
      </c>
      <c r="B35" s="120"/>
      <c r="C35" s="120"/>
      <c r="D35" s="120"/>
      <c r="E35" s="121"/>
      <c r="G35" s="11">
        <f>IF(ROWS($G$7:G35)&gt;$AL$7,"",ROWS($G$7:G35))</f>
        <v>29</v>
      </c>
      <c r="H35" s="14">
        <f t="shared" si="6"/>
        <v>46934</v>
      </c>
      <c r="I35" s="19">
        <f t="shared" si="7"/>
        <v>40</v>
      </c>
      <c r="N35" s="68" t="str">
        <f ca="1">IF(ROWS($N$8:$N35)&gt;$AL$27+2,"",IF(ROWS($N$8:$N35)=$AL$27+2,ROWS($N$8:$N35)-1,IF(ROWS($N$8:$N35)&lt;=$AL$27,ROWS($N$8:$N35),"Sale")))</f>
        <v/>
      </c>
      <c r="O35" s="33" t="str">
        <f t="shared" ca="1" si="8"/>
        <v/>
      </c>
      <c r="P35" s="73" t="str">
        <f ca="1">IF($N35="Sale",-$AL$40,IF(ROWS($P$8:$P35)=$AL$27+2,"",IF($N35="","",$AL$4)))</f>
        <v/>
      </c>
      <c r="AE35" s="7">
        <v>31</v>
      </c>
      <c r="AF35" s="14">
        <f t="shared" si="4"/>
        <v>43100</v>
      </c>
      <c r="AH35" s="11">
        <f>IF(($AL$7-ROWS($AH$5:AH35)+1)&gt;=0,$AL$7-ROWS($AH$5:AH35)+1,"")</f>
        <v>8</v>
      </c>
      <c r="AI35" s="24">
        <f t="shared" ca="1" si="2"/>
        <v>1028.0810667681724</v>
      </c>
      <c r="AK35" s="2" t="s">
        <v>91</v>
      </c>
      <c r="AL35" s="16">
        <f ca="1">AL34/AL33</f>
        <v>0.43956043956043955</v>
      </c>
      <c r="BW35" s="40">
        <f>7</f>
        <v>7</v>
      </c>
      <c r="BX35" s="44">
        <f t="shared" ca="1" si="9"/>
        <v>2.1199999999999997E-2</v>
      </c>
      <c r="BY35" s="45">
        <f t="shared" si="10"/>
        <v>7</v>
      </c>
      <c r="BZ35" s="45">
        <f t="shared" si="11"/>
        <v>49</v>
      </c>
      <c r="CA35" s="46">
        <f t="shared" si="12"/>
        <v>343</v>
      </c>
      <c r="CC35" s="40">
        <f>7</f>
        <v>7</v>
      </c>
      <c r="CD35" s="44">
        <f t="shared" ca="1" si="13"/>
        <v>3.1199999999999999E-2</v>
      </c>
      <c r="CE35" s="45">
        <f t="shared" si="14"/>
        <v>7</v>
      </c>
      <c r="CF35" s="45">
        <f t="shared" si="15"/>
        <v>49</v>
      </c>
      <c r="CG35" s="46">
        <f t="shared" si="16"/>
        <v>343</v>
      </c>
    </row>
    <row r="36" spans="1:96" x14ac:dyDescent="0.2">
      <c r="A36" s="117"/>
      <c r="B36" s="118"/>
      <c r="C36" s="31"/>
      <c r="D36" s="31"/>
      <c r="E36" s="80"/>
      <c r="G36" s="11">
        <f>IF(ROWS($G$7:G36)&gt;$AL$7,"",ROWS($G$7:G36))</f>
        <v>30</v>
      </c>
      <c r="H36" s="14">
        <f t="shared" si="6"/>
        <v>47118</v>
      </c>
      <c r="I36" s="19">
        <f t="shared" si="7"/>
        <v>40</v>
      </c>
      <c r="N36" s="68" t="str">
        <f ca="1">IF(ROWS($N$8:$N36)&gt;$AL$27+2,"",IF(ROWS($N$8:$N36)=$AL$27+2,ROWS($N$8:$N36)-1,IF(ROWS($N$8:$N36)&lt;=$AL$27,ROWS($N$8:$N36),"Sale")))</f>
        <v/>
      </c>
      <c r="O36" s="33" t="str">
        <f t="shared" ca="1" si="8"/>
        <v/>
      </c>
      <c r="P36" s="73" t="str">
        <f ca="1">IF($N36="Sale",-$AL$40,IF(ROWS($P$8:$P36)=$AL$27+2,"",IF($N36="","",$AL$4)))</f>
        <v/>
      </c>
      <c r="AE36" s="7">
        <v>32</v>
      </c>
      <c r="AF36" s="14">
        <f t="shared" si="4"/>
        <v>42916</v>
      </c>
      <c r="AH36" s="11">
        <f>IF(($AL$7-ROWS($AH$5:AH36)+1)&gt;=0,$AL$7-ROWS($AH$5:AH36)+1,"")</f>
        <v>7</v>
      </c>
      <c r="AI36" s="24">
        <f t="shared" ca="1" si="2"/>
        <v>1024.9886736134811</v>
      </c>
      <c r="AK36" s="2" t="s">
        <v>92</v>
      </c>
      <c r="AL36" s="26">
        <f ca="1">AL27+AL35</f>
        <v>4.4395604395604398</v>
      </c>
      <c r="BW36" s="40">
        <f>10</f>
        <v>10</v>
      </c>
      <c r="BX36" s="44">
        <f t="shared" ca="1" si="9"/>
        <v>2.4500000000000001E-2</v>
      </c>
      <c r="BY36" s="45">
        <f t="shared" si="10"/>
        <v>10</v>
      </c>
      <c r="BZ36" s="45">
        <f t="shared" si="11"/>
        <v>100</v>
      </c>
      <c r="CA36" s="46">
        <f t="shared" si="12"/>
        <v>1000</v>
      </c>
      <c r="CC36" s="40">
        <f>10</f>
        <v>10</v>
      </c>
      <c r="CD36" s="44">
        <f t="shared" ca="1" si="13"/>
        <v>3.4500000000000003E-2</v>
      </c>
      <c r="CE36" s="45">
        <f t="shared" si="14"/>
        <v>10</v>
      </c>
      <c r="CF36" s="45">
        <f t="shared" si="15"/>
        <v>100</v>
      </c>
      <c r="CG36" s="46">
        <f t="shared" si="16"/>
        <v>1000</v>
      </c>
    </row>
    <row r="37" spans="1:96" x14ac:dyDescent="0.2">
      <c r="A37" s="75"/>
      <c r="B37" s="31"/>
      <c r="C37" s="31"/>
      <c r="D37" s="31"/>
      <c r="E37" s="80"/>
      <c r="G37" s="11">
        <f>IF(ROWS($G$7:G37)&gt;$AL$7,"",ROWS($G$7:G37))</f>
        <v>31</v>
      </c>
      <c r="H37" s="14">
        <f t="shared" si="6"/>
        <v>47299</v>
      </c>
      <c r="I37" s="19">
        <f t="shared" si="7"/>
        <v>40</v>
      </c>
      <c r="N37" s="68" t="str">
        <f ca="1">IF(ROWS($N$8:$N37)&gt;$AL$27+2,"",IF(ROWS($N$8:$N37)=$AL$27+2,ROWS($N$8:$N37)-1,IF(ROWS($N$8:$N37)&lt;=$AL$27,ROWS($N$8:$N37),"Sale")))</f>
        <v/>
      </c>
      <c r="O37" s="33" t="str">
        <f t="shared" ca="1" si="8"/>
        <v/>
      </c>
      <c r="P37" s="73" t="str">
        <f ca="1">IF($N37="Sale",-$AL$40,IF(ROWS($P$8:$P37)=$AL$27+2,"",IF($N37="","",$AL$4)))</f>
        <v/>
      </c>
      <c r="AE37" s="7">
        <v>33</v>
      </c>
      <c r="AF37" s="14">
        <f t="shared" si="4"/>
        <v>42735</v>
      </c>
      <c r="AH37" s="11">
        <f>IF(($AL$7-ROWS($AH$5:AH37)+1)&gt;=0,$AL$7-ROWS($AH$5:AH37)+1,"")</f>
        <v>6</v>
      </c>
      <c r="AI37" s="24">
        <f t="shared" ca="1" si="2"/>
        <v>1021.7852650588825</v>
      </c>
      <c r="AK37" s="2" t="s">
        <v>53</v>
      </c>
      <c r="AL37" s="18">
        <f ca="1">AL35*AL4</f>
        <v>17.582417582417584</v>
      </c>
      <c r="BW37" s="40">
        <f>20</f>
        <v>20</v>
      </c>
      <c r="BX37" s="44">
        <f t="shared" ca="1" si="9"/>
        <v>3.0099999999999995E-2</v>
      </c>
      <c r="BY37" s="45">
        <f t="shared" si="10"/>
        <v>20</v>
      </c>
      <c r="BZ37" s="45">
        <f t="shared" si="11"/>
        <v>400</v>
      </c>
      <c r="CA37" s="46">
        <f t="shared" si="12"/>
        <v>8000</v>
      </c>
      <c r="CC37" s="40">
        <f>20</f>
        <v>20</v>
      </c>
      <c r="CD37" s="44">
        <f t="shared" ca="1" si="13"/>
        <v>4.0099999999999997E-2</v>
      </c>
      <c r="CE37" s="45">
        <f t="shared" si="14"/>
        <v>20</v>
      </c>
      <c r="CF37" s="45">
        <f t="shared" si="15"/>
        <v>400</v>
      </c>
      <c r="CG37" s="46">
        <f t="shared" si="16"/>
        <v>8000</v>
      </c>
    </row>
    <row r="38" spans="1:96" ht="16" thickBot="1" x14ac:dyDescent="0.25">
      <c r="A38" s="75"/>
      <c r="B38" s="31"/>
      <c r="C38" s="31"/>
      <c r="D38" s="31"/>
      <c r="E38" s="80"/>
      <c r="G38" s="11">
        <f>IF(ROWS($G$7:G38)&gt;$AL$7,"",ROWS($G$7:G38))</f>
        <v>32</v>
      </c>
      <c r="H38" s="14">
        <f t="shared" si="6"/>
        <v>47483</v>
      </c>
      <c r="I38" s="19">
        <f t="shared" si="7"/>
        <v>40</v>
      </c>
      <c r="N38" s="68" t="str">
        <f ca="1">IF(ROWS($N$8:$N38)&gt;$AL$27+2,"",IF(ROWS($N$8:$N38)=$AL$27+2,ROWS($N$8:$N38)-1,IF(ROWS($N$8:$N38)&lt;=$AL$27,ROWS($N$8:$N38),"Sale")))</f>
        <v/>
      </c>
      <c r="O38" s="33" t="str">
        <f t="shared" ca="1" si="8"/>
        <v/>
      </c>
      <c r="P38" s="73" t="str">
        <f ca="1">IF($N38="Sale",-$AL$40,IF(ROWS($P$8:$P38)=$AL$27+2,"",IF($N38="","",$AL$4)))</f>
        <v/>
      </c>
      <c r="AE38" s="7">
        <v>34</v>
      </c>
      <c r="AF38" s="14">
        <f t="shared" si="4"/>
        <v>42551</v>
      </c>
      <c r="AH38" s="11">
        <f>IF(($AL$7-ROWS($AH$5:AH38)+1)&gt;=0,$AL$7-ROWS($AH$5:AH38)+1,"")</f>
        <v>5</v>
      </c>
      <c r="AI38" s="24">
        <f t="shared" ca="1" si="2"/>
        <v>1018.4668557058841</v>
      </c>
      <c r="AK38" s="2" t="s">
        <v>57</v>
      </c>
      <c r="AL38" s="23">
        <f>AL39/AL2</f>
        <v>4.2500000000000003E-2</v>
      </c>
      <c r="BW38" s="40">
        <f>30</f>
        <v>30</v>
      </c>
      <c r="BX38" s="44">
        <f t="shared" ca="1" si="9"/>
        <v>3.1199999999999999E-2</v>
      </c>
      <c r="BY38" s="45">
        <f t="shared" si="10"/>
        <v>30</v>
      </c>
      <c r="BZ38" s="45">
        <f t="shared" si="11"/>
        <v>900</v>
      </c>
      <c r="CA38" s="46">
        <f t="shared" si="12"/>
        <v>27000</v>
      </c>
      <c r="CC38" s="40">
        <f>30</f>
        <v>30</v>
      </c>
      <c r="CD38" s="44">
        <f t="shared" ca="1" si="13"/>
        <v>4.1200000000000001E-2</v>
      </c>
      <c r="CE38" s="45">
        <f t="shared" si="14"/>
        <v>30</v>
      </c>
      <c r="CF38" s="45">
        <f t="shared" si="15"/>
        <v>900</v>
      </c>
      <c r="CG38" s="46">
        <f t="shared" si="16"/>
        <v>27000</v>
      </c>
    </row>
    <row r="39" spans="1:96" x14ac:dyDescent="0.2">
      <c r="A39" s="75"/>
      <c r="B39" s="31"/>
      <c r="C39" s="31"/>
      <c r="D39" s="31"/>
      <c r="E39" s="80"/>
      <c r="G39" s="11">
        <f>IF(ROWS($G$7:G39)&gt;$AL$7,"",ROWS($G$7:G39))</f>
        <v>33</v>
      </c>
      <c r="H39" s="14">
        <f t="shared" si="6"/>
        <v>47664</v>
      </c>
      <c r="I39" s="19">
        <f t="shared" si="7"/>
        <v>40</v>
      </c>
      <c r="N39" s="68" t="str">
        <f ca="1">IF(ROWS($N$8:$N39)&gt;$AL$27+2,"",IF(ROWS($N$8:$N39)=$AL$27+2,ROWS($N$8:$N39)-1,IF(ROWS($N$8:$N39)&lt;=$AL$27,ROWS($N$8:$N39),"Sale")))</f>
        <v/>
      </c>
      <c r="O39" s="33" t="str">
        <f t="shared" ca="1" si="8"/>
        <v/>
      </c>
      <c r="P39" s="73" t="str">
        <f ca="1">IF($N39="Sale",-$AL$40,IF(ROWS($P$8:$P39)=$AL$27+2,"",IF($N39="","",$AL$4)))</f>
        <v/>
      </c>
      <c r="AE39" s="7">
        <v>35</v>
      </c>
      <c r="AF39" s="14">
        <f t="shared" si="4"/>
        <v>42369</v>
      </c>
      <c r="AH39" s="11">
        <f>IF(($AL$7-ROWS($AH$5:AH39)+1)&gt;=0,$AL$7-ROWS($AH$5:AH39)+1,"")</f>
        <v>4</v>
      </c>
      <c r="AI39" s="24">
        <f t="shared" ca="1" si="2"/>
        <v>1015.0293170821394</v>
      </c>
      <c r="AK39" s="2" t="s">
        <v>58</v>
      </c>
      <c r="AL39" s="23">
        <f>IF(B14=AB19,B28%,AL42+(1-B30%)*(AL18-AL19))</f>
        <v>8.5000000000000006E-2</v>
      </c>
      <c r="BW39" s="40"/>
      <c r="BX39" s="31"/>
      <c r="BY39" s="31"/>
      <c r="BZ39" s="31"/>
      <c r="CA39" s="41"/>
      <c r="CC39" s="40"/>
      <c r="CD39" s="31"/>
      <c r="CE39" s="31"/>
      <c r="CF39" s="31"/>
      <c r="CG39" s="41"/>
      <c r="CP39" s="95" t="s">
        <v>195</v>
      </c>
      <c r="CQ39" s="96"/>
      <c r="CR39" s="97"/>
    </row>
    <row r="40" spans="1:96" ht="16" thickBot="1" x14ac:dyDescent="0.25">
      <c r="A40" s="75"/>
      <c r="B40" s="31"/>
      <c r="C40" s="31"/>
      <c r="D40" s="31"/>
      <c r="E40" s="80"/>
      <c r="G40" s="11">
        <f>IF(ROWS($G$7:G40)&gt;$AL$7,"",ROWS($G$7:G40))</f>
        <v>34</v>
      </c>
      <c r="H40" s="14">
        <f t="shared" si="6"/>
        <v>47848</v>
      </c>
      <c r="I40" s="19">
        <f t="shared" si="7"/>
        <v>40</v>
      </c>
      <c r="N40" s="68" t="str">
        <f ca="1">IF(ROWS($N$8:$N40)&gt;$AL$27+2,"",IF(ROWS($N$8:$N40)=$AL$27+2,ROWS($N$8:$N40)-1,IF(ROWS($N$8:$N40)&lt;=$AL$27,ROWS($N$8:$N40),"Sale")))</f>
        <v/>
      </c>
      <c r="O40" s="33" t="str">
        <f t="shared" ca="1" si="8"/>
        <v/>
      </c>
      <c r="P40" s="73" t="str">
        <f ca="1">IF($N40="Sale",-$AL$40,IF(ROWS($P$8:$P40)=$AL$27+2,"",IF($N40="","",$AL$4)))</f>
        <v/>
      </c>
      <c r="AE40" s="7">
        <v>36</v>
      </c>
      <c r="AF40" s="14">
        <f t="shared" si="4"/>
        <v>42185</v>
      </c>
      <c r="AH40" s="11">
        <f>IF(($AL$7-ROWS($AH$5:AH40)+1)&gt;=0,$AL$7-ROWS($AH$5:AH40)+1,"")</f>
        <v>3</v>
      </c>
      <c r="AI40" s="24">
        <f t="shared" ca="1" si="2"/>
        <v>1011.4683725051659</v>
      </c>
      <c r="AK40" s="2" t="s">
        <v>55</v>
      </c>
      <c r="AL40" s="24">
        <f ca="1">-PV($AL$38,$AL$30,$AL$4,$B$9)*(1+$AL$38)^$AL$35</f>
        <v>973.10558944577429</v>
      </c>
      <c r="BW40" s="40"/>
      <c r="BX40" s="72" t="s">
        <v>154</v>
      </c>
      <c r="BY40" s="72" t="s">
        <v>155</v>
      </c>
      <c r="BZ40" s="72" t="s">
        <v>156</v>
      </c>
      <c r="CA40" s="72" t="s">
        <v>157</v>
      </c>
      <c r="CC40" s="40"/>
      <c r="CD40" s="72" t="s">
        <v>154</v>
      </c>
      <c r="CE40" s="72" t="s">
        <v>155</v>
      </c>
      <c r="CF40" s="72" t="s">
        <v>156</v>
      </c>
      <c r="CG40" s="72" t="s">
        <v>157</v>
      </c>
      <c r="CP40" s="98"/>
      <c r="CQ40" s="99"/>
      <c r="CR40" s="100"/>
    </row>
    <row r="41" spans="1:96" ht="15" customHeight="1" x14ac:dyDescent="0.2">
      <c r="A41" s="75"/>
      <c r="B41" s="31"/>
      <c r="C41" s="31"/>
      <c r="D41" s="31"/>
      <c r="E41" s="80"/>
      <c r="G41" s="11">
        <f>IF(ROWS($G$7:G41)&gt;$AL$7,"",ROWS($G$7:G41))</f>
        <v>35</v>
      </c>
      <c r="H41" s="14">
        <f t="shared" si="6"/>
        <v>48029</v>
      </c>
      <c r="I41" s="19">
        <f t="shared" si="7"/>
        <v>40</v>
      </c>
      <c r="N41" s="68" t="str">
        <f ca="1">IF(ROWS($N$8:$N41)&gt;$AL$27+2,"",IF(ROWS($N$8:$N41)=$AL$27+2,ROWS($N$8:$N41)-1,IF(ROWS($N$8:$N41)&lt;=$AL$27,ROWS($N$8:$N41),"Sale")))</f>
        <v/>
      </c>
      <c r="O41" s="33" t="str">
        <f t="shared" ca="1" si="8"/>
        <v/>
      </c>
      <c r="P41" s="73" t="str">
        <f ca="1">IF($N41="Sale",-$AL$40,IF(ROWS($P$8:$P41)=$AL$27+2,"",IF($N41="","",$AL$4)))</f>
        <v/>
      </c>
      <c r="AE41" s="7">
        <v>37</v>
      </c>
      <c r="AF41" s="14">
        <f t="shared" si="4"/>
        <v>42004</v>
      </c>
      <c r="AH41" s="11">
        <f>IF(($AL$7-ROWS($AH$5:AH41)+1)&gt;=0,$AL$7-ROWS($AH$5:AH41)+1,"")</f>
        <v>2</v>
      </c>
      <c r="AI41" s="24">
        <f t="shared" ca="1" si="2"/>
        <v>1007.7795917616752</v>
      </c>
      <c r="AK41" s="2" t="s">
        <v>54</v>
      </c>
      <c r="AL41" s="24">
        <f ca="1">AL40-AL37</f>
        <v>955.52317186335665</v>
      </c>
      <c r="BW41" s="40"/>
      <c r="BX41" s="11" cm="1">
        <f t="array" aca="1" ref="BX41:CA41" ca="1">LINEST(BX27:BX38,BY27:CA38,TRUE,FALSE)</f>
        <v>4.31717599968737E-7</v>
      </c>
      <c r="BY41" s="11">
        <f ca="1"/>
        <v>-5.8425796584062104E-5</v>
      </c>
      <c r="BZ41" s="11">
        <f ca="1"/>
        <v>2.142421221070041E-3</v>
      </c>
      <c r="CA41" s="11">
        <f ca="1"/>
        <v>7.7289261132833988E-3</v>
      </c>
      <c r="CC41" s="40"/>
      <c r="CD41" s="11" cm="1">
        <f t="array" aca="1" ref="CD41:CG41" ca="1">LINEST(CD27:CD38,CE27:CG38,TRUE,FALSE)</f>
        <v>4.3171759996873737E-7</v>
      </c>
      <c r="CE41" s="11">
        <f ca="1"/>
        <v>-5.8425796584062131E-5</v>
      </c>
      <c r="CF41" s="11">
        <f ca="1"/>
        <v>2.1424212210700414E-3</v>
      </c>
      <c r="CG41" s="11">
        <f ca="1"/>
        <v>1.7728926113283392E-2</v>
      </c>
    </row>
    <row r="42" spans="1:96" x14ac:dyDescent="0.2">
      <c r="A42" s="75"/>
      <c r="B42" s="31"/>
      <c r="C42" s="31"/>
      <c r="D42" s="31"/>
      <c r="E42" s="80"/>
      <c r="G42" s="11">
        <f>IF(ROWS($G$7:G42)&gt;$AL$7,"",ROWS($G$7:G42))</f>
        <v>36</v>
      </c>
      <c r="H42" s="14">
        <f t="shared" si="6"/>
        <v>48213</v>
      </c>
      <c r="I42" s="19">
        <f t="shared" si="7"/>
        <v>40</v>
      </c>
      <c r="N42" s="68" t="str">
        <f ca="1">IF(ROWS($N$8:$N42)&gt;$AL$27+2,"",IF(ROWS($N$8:$N42)=$AL$27+2,ROWS($N$8:$N42)-1,IF(ROWS($N$8:$N42)&lt;=$AL$27,ROWS($N$8:$N42),"Sale")))</f>
        <v/>
      </c>
      <c r="O42" s="33" t="str">
        <f t="shared" ca="1" si="8"/>
        <v/>
      </c>
      <c r="P42" s="73" t="str">
        <f ca="1">IF($N42="Sale",-$AL$40,IF(ROWS($P$8:$P42)=$AL$27+2,"",IF($N42="","",$AL$4)))</f>
        <v/>
      </c>
      <c r="AE42" s="7">
        <v>38</v>
      </c>
      <c r="AF42" s="14">
        <f t="shared" si="4"/>
        <v>41820</v>
      </c>
      <c r="AH42" s="11">
        <f>IF(($AL$7-ROWS($AH$5:AH42)+1)&gt;=0,$AL$7-ROWS($AH$5:AH42)+1,"")</f>
        <v>1</v>
      </c>
      <c r="AI42" s="24">
        <f t="shared" ca="1" si="2"/>
        <v>1003.9583855958904</v>
      </c>
      <c r="AK42" s="2" t="s">
        <v>60</v>
      </c>
      <c r="AL42" s="23">
        <f>IF(B14=AB19,B27/100,IF(AND(B14=AB20,B32=AB22),CD22,IF(AND(B14=AB20,B32=AB23),CE43)))</f>
        <v>0.08</v>
      </c>
      <c r="BW42" s="40"/>
      <c r="BX42" s="31"/>
      <c r="BY42" s="31"/>
      <c r="BZ42" s="31"/>
      <c r="CA42" s="41"/>
      <c r="CC42" s="40"/>
      <c r="CD42" s="31"/>
      <c r="CE42" s="31"/>
      <c r="CF42" s="31"/>
      <c r="CG42" s="41"/>
    </row>
    <row r="43" spans="1:96" x14ac:dyDescent="0.2">
      <c r="A43" s="75"/>
      <c r="B43" s="31"/>
      <c r="C43" s="31"/>
      <c r="D43" s="31"/>
      <c r="E43" s="80"/>
      <c r="G43" s="11">
        <f>IF(ROWS($G$7:G43)&gt;$AL$7,"",ROWS($G$7:G43))</f>
        <v>37</v>
      </c>
      <c r="H43" s="14">
        <f t="shared" si="6"/>
        <v>48395</v>
      </c>
      <c r="I43" s="19">
        <f t="shared" si="7"/>
        <v>40</v>
      </c>
      <c r="N43" s="68" t="str">
        <f ca="1">IF(ROWS($N$8:$N43)&gt;$AL$27+2,"",IF(ROWS($N$8:$N43)=$AL$27+2,ROWS($N$8:$N43)-1,IF(ROWS($N$8:$N43)&lt;=$AL$27,ROWS($N$8:$N43),"Sale")))</f>
        <v/>
      </c>
      <c r="O43" s="33" t="str">
        <f t="shared" ca="1" si="8"/>
        <v/>
      </c>
      <c r="P43" s="73" t="str">
        <f ca="1">IF($N43="Sale",-$AL$40,IF(ROWS($P$8:$P43)=$AL$27+2,"",IF($N43="","",$AL$4)))</f>
        <v/>
      </c>
      <c r="AE43" s="7">
        <v>39</v>
      </c>
      <c r="AF43" s="14" t="str">
        <f t="shared" si="4"/>
        <v/>
      </c>
      <c r="AH43" s="11">
        <f>IF(($AL$7-ROWS($AH$5:AH43)+1)&gt;=0,$AL$7-ROWS($AH$5:AH43)+1,"")</f>
        <v>0</v>
      </c>
      <c r="AI43" s="24">
        <f t="shared" ca="1" si="2"/>
        <v>1000</v>
      </c>
      <c r="AK43" s="2" t="s">
        <v>59</v>
      </c>
      <c r="AL43" s="23">
        <f>AL42/AL2</f>
        <v>0.04</v>
      </c>
      <c r="BW43" s="123" t="s">
        <v>158</v>
      </c>
      <c r="BX43" s="123"/>
      <c r="BY43" s="50">
        <f ca="1">CA41+BZ41*BC9+BY41*BC9^2+BX41*BC9^3</f>
        <v>3.0228412424238082E-2</v>
      </c>
      <c r="BZ43" s="42"/>
      <c r="CA43" s="47"/>
      <c r="CC43" s="123" t="s">
        <v>160</v>
      </c>
      <c r="CD43" s="123"/>
      <c r="CE43" s="50">
        <f ca="1">CG41+CF41*BC10+CE41*BC10^2+CD41*BC10^3</f>
        <v>3.9267943451253312E-2</v>
      </c>
      <c r="CF43" s="42"/>
      <c r="CG43" s="47"/>
    </row>
    <row r="44" spans="1:96" ht="16" thickBot="1" x14ac:dyDescent="0.25">
      <c r="A44" s="77"/>
      <c r="B44" s="78"/>
      <c r="C44" s="78"/>
      <c r="D44" s="78"/>
      <c r="E44" s="81"/>
      <c r="G44" s="11">
        <f>IF(ROWS($G$7:G44)&gt;$AL$7,"",ROWS($G$7:G44))</f>
        <v>38</v>
      </c>
      <c r="H44" s="14">
        <f t="shared" si="6"/>
        <v>48579</v>
      </c>
      <c r="I44" s="19">
        <f t="shared" si="7"/>
        <v>1040</v>
      </c>
      <c r="N44" s="68" t="str">
        <f ca="1">IF(ROWS($N$8:$N44)&gt;$AL$27+2,"",IF(ROWS($N$8:$N44)=$AL$27+2,ROWS($N$8:$N44)-1,IF(ROWS($N$8:$N44)&lt;=$AL$27,ROWS($N$8:$N44),"Sale")))</f>
        <v/>
      </c>
      <c r="O44" s="33" t="str">
        <f t="shared" ca="1" si="8"/>
        <v/>
      </c>
      <c r="P44" s="73" t="str">
        <f ca="1">IF($N44="Sale",-$AL$40,IF(ROWS($P$8:$P44)=$AL$27+2,"",IF($N44="","",$AL$4)))</f>
        <v/>
      </c>
      <c r="AE44" s="7">
        <v>40</v>
      </c>
      <c r="AF44" s="14" t="str">
        <f t="shared" si="4"/>
        <v/>
      </c>
      <c r="AH44" s="11" t="str">
        <f>IF(($AL$7-ROWS($AH$5:AH44)+1)&gt;=0,$AL$7-ROWS($AH$5:AH44)+1,"")</f>
        <v/>
      </c>
      <c r="AI44" s="24" t="str">
        <f t="shared" si="2"/>
        <v/>
      </c>
      <c r="AK44" s="2" t="s">
        <v>62</v>
      </c>
      <c r="AL44" s="24">
        <f ca="1">-PV($AL$43,$AL$30,$AL$4,$B$9)*(1+$AL$43)^$AL$35</f>
        <v>1017.3893382196896</v>
      </c>
    </row>
    <row r="45" spans="1:96" x14ac:dyDescent="0.2">
      <c r="G45" s="11" t="str">
        <f>IF(ROWS($G$7:G45)&gt;$AL$7,"",ROWS($G$7:G45))</f>
        <v/>
      </c>
      <c r="H45" s="14" t="str">
        <f t="shared" si="6"/>
        <v/>
      </c>
      <c r="I45" s="19" t="str">
        <f t="shared" si="7"/>
        <v/>
      </c>
      <c r="N45" s="68" t="str">
        <f ca="1">IF(ROWS($N$8:$N45)&gt;$AL$27+2,"",IF(ROWS($N$8:$N45)=$AL$27+2,ROWS($N$8:$N45)-1,IF(ROWS($N$8:$N45)&lt;=$AL$27,ROWS($N$8:$N45),"Sale")))</f>
        <v/>
      </c>
      <c r="O45" s="33" t="str">
        <f t="shared" ca="1" si="8"/>
        <v/>
      </c>
      <c r="P45" s="73" t="str">
        <f ca="1">IF($N45="Sale",-$AL$40,IF(ROWS($P$8:$P45)=$AL$27+2,"",IF($N45="","",$AL$4)))</f>
        <v/>
      </c>
      <c r="AE45" s="7">
        <v>41</v>
      </c>
      <c r="AF45" s="14" t="str">
        <f t="shared" si="4"/>
        <v/>
      </c>
      <c r="AH45" s="11" t="str">
        <f>IF(($AL$7-ROWS($AH$5:AH45)+1)&gt;=0,$AL$7-ROWS($AH$5:AH45)+1,"")</f>
        <v/>
      </c>
      <c r="AI45" s="24" t="str">
        <f t="shared" si="2"/>
        <v/>
      </c>
      <c r="AK45" s="2" t="s">
        <v>61</v>
      </c>
      <c r="AL45" s="24">
        <f ca="1">AL44-AL37</f>
        <v>999.80692063727201</v>
      </c>
    </row>
    <row r="46" spans="1:96" x14ac:dyDescent="0.2">
      <c r="G46" s="11" t="str">
        <f>IF(ROWS($G$7:G46)&gt;$AL$7,"",ROWS($G$7:G46))</f>
        <v/>
      </c>
      <c r="H46" s="14" t="str">
        <f t="shared" si="6"/>
        <v/>
      </c>
      <c r="I46" s="19" t="str">
        <f t="shared" si="7"/>
        <v/>
      </c>
      <c r="N46" s="68" t="str">
        <f ca="1">IF(ROWS($N$8:$N46)&gt;$AL$27+2,"",IF(ROWS($N$8:$N46)=$AL$27+2,ROWS($N$8:$N46)-1,IF(ROWS($N$8:$N46)&lt;=$AL$27,ROWS($N$8:$N46),"Sale")))</f>
        <v/>
      </c>
      <c r="O46" s="33" t="str">
        <f t="shared" ca="1" si="8"/>
        <v/>
      </c>
      <c r="P46" s="73" t="str">
        <f ca="1">IF($N46="Sale",-$AL$40,IF(ROWS($P$8:$P46)=$AL$27+2,"",IF($N46="","",$AL$4)))</f>
        <v/>
      </c>
      <c r="AE46" s="7">
        <v>42</v>
      </c>
      <c r="AF46" s="14" t="str">
        <f t="shared" si="4"/>
        <v/>
      </c>
      <c r="AH46" s="11" t="str">
        <f>IF(($AL$7-ROWS($AH$5:AH46)+1)&gt;=0,$AL$7-ROWS($AH$5:AH46)+1,"")</f>
        <v/>
      </c>
      <c r="AI46" s="24" t="str">
        <f t="shared" si="2"/>
        <v/>
      </c>
    </row>
    <row r="47" spans="1:96" x14ac:dyDescent="0.2">
      <c r="G47" s="11" t="str">
        <f>IF(ROWS($G$7:G47)&gt;$AL$7,"",ROWS($G$7:G47))</f>
        <v/>
      </c>
      <c r="H47" s="14" t="str">
        <f t="shared" si="6"/>
        <v/>
      </c>
      <c r="I47" s="19" t="str">
        <f t="shared" si="7"/>
        <v/>
      </c>
      <c r="N47" s="68" t="str">
        <f ca="1">IF(ROWS($N$8:$N47)&gt;$AL$27+2,"",IF(ROWS($N$8:$N47)=$AL$27+2,ROWS($N$8:$N47)-1,IF(ROWS($N$8:$N47)&lt;=$AL$27,ROWS($N$8:$N47),"Sale")))</f>
        <v/>
      </c>
      <c r="O47" s="33" t="str">
        <f t="shared" ca="1" si="8"/>
        <v/>
      </c>
      <c r="P47" s="73" t="str">
        <f ca="1">IF($N47="Sale",-$AL$40,IF(ROWS($P$8:$P47)=$AL$27+2,"",IF($N47="","",$AL$4)))</f>
        <v/>
      </c>
      <c r="AE47" s="7">
        <v>43</v>
      </c>
      <c r="AF47" s="14" t="str">
        <f t="shared" si="4"/>
        <v/>
      </c>
      <c r="AH47" s="11" t="str">
        <f>IF(($AL$7-ROWS($AH$5:AH47)+1)&gt;=0,$AL$7-ROWS($AH$5:AH47)+1,"")</f>
        <v/>
      </c>
      <c r="AI47" s="24" t="str">
        <f t="shared" si="2"/>
        <v/>
      </c>
      <c r="AK47" s="106" t="s">
        <v>89</v>
      </c>
      <c r="AL47" s="106"/>
    </row>
    <row r="48" spans="1:96" x14ac:dyDescent="0.2">
      <c r="G48" s="11" t="str">
        <f>IF(ROWS($G$7:G48)&gt;$AL$7,"",ROWS($G$7:G48))</f>
        <v/>
      </c>
      <c r="H48" s="14" t="str">
        <f t="shared" si="6"/>
        <v/>
      </c>
      <c r="I48" s="19" t="str">
        <f t="shared" si="7"/>
        <v/>
      </c>
      <c r="N48" s="68" t="str">
        <f ca="1">IF(ROWS($N$8:$N48)&gt;$AL$27+2,"",IF(ROWS($N$8:$N48)=$AL$27+2,ROWS($N$8:$N48)-1,IF(ROWS($N$8:$N48)&lt;=$AL$27,ROWS($N$8:$N48),"Sale")))</f>
        <v/>
      </c>
      <c r="O48" s="33" t="str">
        <f t="shared" ca="1" si="8"/>
        <v/>
      </c>
      <c r="P48" s="73" t="str">
        <f ca="1">IF($N48="Sale",-$AL$40,IF(ROWS($P$8:$P48)=$AL$27+2,"",IF($N48="","",$AL$4)))</f>
        <v/>
      </c>
      <c r="AE48" s="7">
        <v>44</v>
      </c>
      <c r="AF48" s="14" t="str">
        <f t="shared" si="4"/>
        <v/>
      </c>
      <c r="AH48" s="11" t="str">
        <f>IF(($AL$7-ROWS($AH$5:AH48)+1)&gt;=0,$AL$7-ROWS($AH$5:AH48)+1,"")</f>
        <v/>
      </c>
      <c r="AI48" s="24" t="str">
        <f t="shared" si="2"/>
        <v/>
      </c>
      <c r="AK48" s="2" t="s">
        <v>93</v>
      </c>
      <c r="AL48" s="22">
        <f ca="1">IFERROR(RATE(AL27,AL4,-AL49,AL50),((AL40/AL15)^(1/(AL36-AL12))-1))</f>
        <v>8.1140719987748394E-3</v>
      </c>
      <c r="AM48" s="21"/>
    </row>
    <row r="49" spans="7:38" x14ac:dyDescent="0.2">
      <c r="G49" s="11" t="str">
        <f>IF(ROWS($G$7:G49)&gt;$AL$7,"",ROWS($G$7:G49))</f>
        <v/>
      </c>
      <c r="H49" s="14" t="str">
        <f t="shared" si="6"/>
        <v/>
      </c>
      <c r="I49" s="19" t="str">
        <f t="shared" si="7"/>
        <v/>
      </c>
      <c r="N49" s="68" t="str">
        <f ca="1">IF(ROWS($N$8:$N49)&gt;$AL$27+2,"",IF(ROWS($N$8:$N49)=$AL$27+2,ROWS($N$8:$N49)-1,IF(ROWS($N$8:$N49)&lt;=$AL$27,ROWS($N$8:$N49),"Sale")))</f>
        <v/>
      </c>
      <c r="O49" s="33" t="str">
        <f t="shared" ca="1" si="8"/>
        <v/>
      </c>
      <c r="P49" s="73" t="str">
        <f ca="1">IF($N49="Sale",-$AL$40,IF(ROWS($P$8:$P49)=$AL$27+2,"",IF($N49="","",$AL$4)))</f>
        <v/>
      </c>
      <c r="AE49" s="7">
        <v>45</v>
      </c>
      <c r="AF49" s="14" t="str">
        <f t="shared" si="4"/>
        <v/>
      </c>
      <c r="AH49" s="11" t="str">
        <f>IF(($AL$7-ROWS($AH$5:AH49)+1)&gt;=0,$AL$7-ROWS($AH$5:AH49)+1,"")</f>
        <v/>
      </c>
      <c r="AI49" s="24" t="str">
        <f t="shared" si="2"/>
        <v/>
      </c>
      <c r="AK49" s="2" t="s">
        <v>94</v>
      </c>
      <c r="AL49" s="18">
        <f ca="1">$AL$15/(1+$AL$48)^$AL$12</f>
        <v>1095.6181128757339</v>
      </c>
    </row>
    <row r="50" spans="7:38" x14ac:dyDescent="0.2">
      <c r="G50" s="11" t="str">
        <f>IF(ROWS($G$7:G50)&gt;$AL$7,"",ROWS($G$7:G50))</f>
        <v/>
      </c>
      <c r="H50" s="14" t="str">
        <f t="shared" si="6"/>
        <v/>
      </c>
      <c r="I50" s="19" t="str">
        <f t="shared" si="7"/>
        <v/>
      </c>
      <c r="N50" s="68" t="str">
        <f ca="1">IF(ROWS($N$8:$N50)&gt;$AL$27+2,"",IF(ROWS($N$8:$N50)=$AL$27+2,ROWS($N$8:$N50)-1,IF(ROWS($N$8:$N50)&lt;=$AL$27,ROWS($N$8:$N50),"Sale")))</f>
        <v/>
      </c>
      <c r="O50" s="33" t="str">
        <f t="shared" ca="1" si="8"/>
        <v/>
      </c>
      <c r="P50" s="73" t="str">
        <f ca="1">IF($N50="Sale",-$AL$40,IF(ROWS($P$8:$P50)=$AL$27+2,"",IF($N50="","",$AL$4)))</f>
        <v/>
      </c>
      <c r="AE50" s="7">
        <v>46</v>
      </c>
      <c r="AF50" s="14" t="str">
        <f t="shared" si="4"/>
        <v/>
      </c>
      <c r="AH50" s="11" t="str">
        <f>IF(($AL$7-ROWS($AH$5:AH50)+1)&gt;=0,$AL$7-ROWS($AH$5:AH50)+1,"")</f>
        <v/>
      </c>
      <c r="AI50" s="24" t="str">
        <f t="shared" si="2"/>
        <v/>
      </c>
      <c r="AK50" s="2" t="s">
        <v>95</v>
      </c>
      <c r="AL50" s="24">
        <f ca="1">AL40/(1+AL48)^AL35</f>
        <v>969.65502396281954</v>
      </c>
    </row>
    <row r="51" spans="7:38" x14ac:dyDescent="0.2">
      <c r="G51" s="11" t="str">
        <f>IF(ROWS($G$7:G51)&gt;$AL$7,"",ROWS($G$7:G51))</f>
        <v/>
      </c>
      <c r="H51" s="14" t="str">
        <f t="shared" si="6"/>
        <v/>
      </c>
      <c r="I51" s="19" t="str">
        <f t="shared" si="7"/>
        <v/>
      </c>
      <c r="N51" s="68" t="str">
        <f ca="1">IF(ROWS($N$8:$N51)&gt;$AL$27+2,"",IF(ROWS($N$8:$N51)=$AL$27+2,ROWS($N$8:$N51)-1,IF(ROWS($N$8:$N51)&lt;=$AL$27,ROWS($N$8:$N51),"Sale")))</f>
        <v/>
      </c>
      <c r="O51" s="33" t="str">
        <f t="shared" ca="1" si="8"/>
        <v/>
      </c>
      <c r="P51" s="73" t="str">
        <f ca="1">IF($N51="Sale",-$AL$40,IF(ROWS($P$8:$P51)=$AL$27+2,"",IF($N51="","",$AL$4)))</f>
        <v/>
      </c>
      <c r="AE51" s="7">
        <v>47</v>
      </c>
      <c r="AF51" s="14" t="str">
        <f t="shared" si="4"/>
        <v/>
      </c>
      <c r="AH51" s="11" t="str">
        <f>IF(($AL$7-ROWS($AH$5:AH51)+1)&gt;=0,$AL$7-ROWS($AH$5:AH51)+1,"")</f>
        <v/>
      </c>
      <c r="AI51" s="24" t="str">
        <f t="shared" si="2"/>
        <v/>
      </c>
    </row>
    <row r="52" spans="7:38" x14ac:dyDescent="0.2">
      <c r="G52" s="11" t="str">
        <f>IF(ROWS($G$7:G52)&gt;$AL$7,"",ROWS($G$7:G52))</f>
        <v/>
      </c>
      <c r="H52" s="14" t="str">
        <f t="shared" si="6"/>
        <v/>
      </c>
      <c r="I52" s="19" t="str">
        <f t="shared" si="7"/>
        <v/>
      </c>
      <c r="N52" s="68" t="str">
        <f ca="1">IF(ROWS($N$8:$N52)&gt;$AL$27+2,"",IF(ROWS($N$8:$N52)=$AL$27+2,ROWS($N$8:$N52)-1,IF(ROWS($N$8:$N52)&lt;=$AL$27,ROWS($N$8:$N52),"Sale")))</f>
        <v/>
      </c>
      <c r="O52" s="33" t="str">
        <f t="shared" ca="1" si="8"/>
        <v/>
      </c>
      <c r="P52" s="73" t="str">
        <f ca="1">IF($N52="Sale",-$AL$40,IF(ROWS($P$8:$P52)=$AL$27+2,"",IF($N52="","",$AL$4)))</f>
        <v/>
      </c>
      <c r="AE52" s="7">
        <v>48</v>
      </c>
      <c r="AF52" s="14" t="str">
        <f t="shared" si="4"/>
        <v/>
      </c>
      <c r="AH52" s="11" t="str">
        <f>IF(($AL$7-ROWS($AH$5:AH52)+1)&gt;=0,$AL$7-ROWS($AH$5:AH52)+1,"")</f>
        <v/>
      </c>
      <c r="AI52" s="24" t="str">
        <f t="shared" si="2"/>
        <v/>
      </c>
      <c r="AK52" s="106" t="s">
        <v>90</v>
      </c>
      <c r="AL52" s="106"/>
    </row>
    <row r="53" spans="7:38" x14ac:dyDescent="0.2">
      <c r="G53" s="11" t="str">
        <f>IF(ROWS($G$7:G53)&gt;$AL$7,"",ROWS($G$7:G53))</f>
        <v/>
      </c>
      <c r="H53" s="14" t="str">
        <f t="shared" si="6"/>
        <v/>
      </c>
      <c r="I53" s="19" t="str">
        <f t="shared" si="7"/>
        <v/>
      </c>
      <c r="N53" s="68" t="str">
        <f ca="1">IF(ROWS($N$8:$N53)&gt;$AL$27+2,"",IF(ROWS($N$8:$N53)=$AL$27+2,ROWS($N$8:$N53)-1,IF(ROWS($N$8:$N53)&lt;=$AL$27,ROWS($N$8:$N53),"Sale")))</f>
        <v/>
      </c>
      <c r="O53" s="33" t="str">
        <f t="shared" ca="1" si="8"/>
        <v/>
      </c>
      <c r="P53" s="73" t="str">
        <f ca="1">IF($N53="Sale",-$AL$40,IF(ROWS($P$8:$P53)=$AL$27+2,"",IF($N53="","",$AL$4)))</f>
        <v/>
      </c>
      <c r="AE53" s="7">
        <v>49</v>
      </c>
      <c r="AF53" s="14" t="str">
        <f t="shared" si="4"/>
        <v/>
      </c>
      <c r="AH53" s="11" t="str">
        <f>IF(($AL$7-ROWS($AH$5:AH53)+1)&gt;=0,$AL$7-ROWS($AH$5:AH53)+1,"")</f>
        <v/>
      </c>
      <c r="AI53" s="24" t="str">
        <f t="shared" si="2"/>
        <v/>
      </c>
      <c r="AK53" s="2" t="s">
        <v>96</v>
      </c>
      <c r="AL53" s="24">
        <f ca="1">-PV($AL$20,$AL$27,AL4,0)*(1+AL20)^AL36+AL40</f>
        <v>1144.272129147409</v>
      </c>
    </row>
    <row r="54" spans="7:38" x14ac:dyDescent="0.2">
      <c r="G54" s="11" t="str">
        <f>IF(ROWS($G$7:G54)&gt;$AL$7,"",ROWS($G$7:G54))</f>
        <v/>
      </c>
      <c r="H54" s="14" t="str">
        <f t="shared" si="6"/>
        <v/>
      </c>
      <c r="I54" s="19" t="str">
        <f t="shared" si="7"/>
        <v/>
      </c>
      <c r="N54" s="68" t="str">
        <f ca="1">IF(ROWS($N$8:$N54)&gt;$AL$27+2,"",IF(ROWS($N$8:$N54)=$AL$27+2,ROWS($N$8:$N54)-1,IF(ROWS($N$8:$N54)&lt;=$AL$27,ROWS($N$8:$N54),"Sale")))</f>
        <v/>
      </c>
      <c r="O54" s="33" t="str">
        <f t="shared" ca="1" si="8"/>
        <v/>
      </c>
      <c r="P54" s="73" t="str">
        <f ca="1">IF($N54="Sale",-$AL$40,IF(ROWS($P$8:$P54)=$AL$27+2,"",IF($N54="","",$AL$4)))</f>
        <v/>
      </c>
      <c r="AE54" s="7">
        <v>50</v>
      </c>
      <c r="AF54" s="14" t="str">
        <f t="shared" si="4"/>
        <v/>
      </c>
      <c r="AH54" s="11" t="str">
        <f>IF(($AL$7-ROWS($AH$5:AH54)+1)&gt;=0,$AL$7-ROWS($AH$5:AH54)+1,"")</f>
        <v/>
      </c>
      <c r="AI54" s="24" t="str">
        <f t="shared" si="2"/>
        <v/>
      </c>
      <c r="AK54" s="2" t="s">
        <v>97</v>
      </c>
      <c r="AL54" s="23">
        <f ca="1">(AL53/AL15)^(1/(AL36-AL12))-1</f>
        <v>9.9968756927313329E-3</v>
      </c>
    </row>
    <row r="55" spans="7:38" x14ac:dyDescent="0.2">
      <c r="G55" s="11" t="str">
        <f>IF(ROWS($G$7:G55)&gt;$AL$7,"",ROWS($G$7:G55))</f>
        <v/>
      </c>
      <c r="H55" s="14" t="str">
        <f t="shared" si="6"/>
        <v/>
      </c>
      <c r="I55" s="19" t="str">
        <f t="shared" si="7"/>
        <v/>
      </c>
      <c r="N55" s="68" t="str">
        <f ca="1">IF(ROWS($N$8:$N55)&gt;$AL$27+2,"",IF(ROWS($N$8:$N55)=$AL$27+2,ROWS($N$8:$N55)-1,IF(ROWS($N$8:$N55)&lt;=$AL$27,ROWS($N$8:$N55),"Sale")))</f>
        <v/>
      </c>
      <c r="O55" s="33" t="str">
        <f t="shared" ca="1" si="8"/>
        <v/>
      </c>
      <c r="P55" s="73" t="str">
        <f ca="1">IF($N55="Sale",-$AL$40,IF(ROWS($P$8:$P55)=$AL$27+2,"",IF($N55="","",$AL$4)))</f>
        <v/>
      </c>
      <c r="AE55" s="7">
        <v>51</v>
      </c>
      <c r="AF55" s="14" t="str">
        <f t="shared" si="4"/>
        <v/>
      </c>
      <c r="AH55" s="11" t="str">
        <f>IF(($AL$7-ROWS($AH$5:AH55)+1)&gt;=0,$AL$7-ROWS($AH$5:AH55)+1,"")</f>
        <v/>
      </c>
      <c r="AI55" s="24" t="str">
        <f t="shared" si="2"/>
        <v/>
      </c>
    </row>
    <row r="56" spans="7:38" x14ac:dyDescent="0.2">
      <c r="G56" s="11" t="str">
        <f>IF(ROWS($G$7:G56)&gt;$AL$7,"",ROWS($G$7:G56))</f>
        <v/>
      </c>
      <c r="H56" s="14" t="str">
        <f t="shared" si="6"/>
        <v/>
      </c>
      <c r="I56" s="19" t="str">
        <f t="shared" si="7"/>
        <v/>
      </c>
      <c r="N56" s="68" t="str">
        <f ca="1">IF(ROWS($N$8:$N56)&gt;$AL$27+2,"",IF(ROWS($N$8:$N56)=$AL$27+2,ROWS($N$8:$N56)-1,IF(ROWS($N$8:$N56)&lt;=$AL$27,ROWS($N$8:$N56),"Sale")))</f>
        <v/>
      </c>
      <c r="O56" s="33" t="str">
        <f t="shared" ca="1" si="8"/>
        <v/>
      </c>
      <c r="P56" s="73" t="str">
        <f ca="1">IF($N56="Sale",-$AL$40,IF(ROWS($P$8:$P56)=$AL$27+2,"",IF($N56="","",$AL$4)))</f>
        <v/>
      </c>
      <c r="AE56" s="7">
        <v>52</v>
      </c>
      <c r="AF56" s="14" t="str">
        <f t="shared" si="4"/>
        <v/>
      </c>
      <c r="AH56" s="11" t="str">
        <f>IF(($AL$7-ROWS($AH$5:AH56)+1)&gt;=0,$AL$7-ROWS($AH$5:AH56)+1,"")</f>
        <v/>
      </c>
      <c r="AI56" s="24" t="str">
        <f t="shared" si="2"/>
        <v/>
      </c>
    </row>
    <row r="57" spans="7:38" x14ac:dyDescent="0.2">
      <c r="G57" s="11" t="str">
        <f>IF(ROWS($G$7:G57)&gt;$AL$7,"",ROWS($G$7:G57))</f>
        <v/>
      </c>
      <c r="H57" s="14" t="str">
        <f t="shared" si="6"/>
        <v/>
      </c>
      <c r="I57" s="19" t="str">
        <f t="shared" si="7"/>
        <v/>
      </c>
      <c r="N57" s="68" t="str">
        <f ca="1">IF(ROWS($N$8:$N57)&gt;$AL$27+2,"",IF(ROWS($N$8:$N57)=$AL$27+2,ROWS($N$8:$N57)-1,IF(ROWS($N$8:$N57)&lt;=$AL$27,ROWS($N$8:$N57),"Sale")))</f>
        <v/>
      </c>
      <c r="O57" s="33" t="str">
        <f t="shared" ca="1" si="8"/>
        <v/>
      </c>
      <c r="P57" s="73" t="str">
        <f ca="1">IF($N57="Sale",-$AL$40,IF(ROWS($P$8:$P57)=$AL$27+2,"",IF($N57="","",$AL$4)))</f>
        <v/>
      </c>
      <c r="AE57" s="7">
        <v>53</v>
      </c>
      <c r="AF57" s="14" t="str">
        <f t="shared" si="4"/>
        <v/>
      </c>
      <c r="AH57" s="11" t="str">
        <f>IF(($AL$7-ROWS($AH$5:AH57)+1)&gt;=0,$AL$7-ROWS($AH$5:AH57)+1,"")</f>
        <v/>
      </c>
      <c r="AI57" s="24" t="str">
        <f t="shared" si="2"/>
        <v/>
      </c>
    </row>
    <row r="58" spans="7:38" x14ac:dyDescent="0.2">
      <c r="G58" s="11" t="str">
        <f>IF(ROWS($G$7:G58)&gt;$AL$7,"",ROWS($G$7:G58))</f>
        <v/>
      </c>
      <c r="H58" s="14" t="str">
        <f t="shared" si="6"/>
        <v/>
      </c>
      <c r="I58" s="19" t="str">
        <f t="shared" si="7"/>
        <v/>
      </c>
      <c r="N58" s="68" t="str">
        <f ca="1">IF(ROWS($N$8:$N58)&gt;$AL$27+2,"",IF(ROWS($N$8:$N58)=$AL$27+2,ROWS($N$8:$N58)-1,IF(ROWS($N$8:$N58)&lt;=$AL$27,ROWS($N$8:$N58),"Sale")))</f>
        <v/>
      </c>
      <c r="O58" s="33" t="str">
        <f t="shared" ca="1" si="8"/>
        <v/>
      </c>
      <c r="P58" s="73" t="str">
        <f ca="1">IF($N58="Sale",-$AL$40,IF(ROWS($P$8:$P58)=$AL$27+2,"",IF($N58="","",$AL$4)))</f>
        <v/>
      </c>
      <c r="AE58" s="7">
        <v>54</v>
      </c>
      <c r="AF58" s="14" t="str">
        <f t="shared" si="4"/>
        <v/>
      </c>
      <c r="AH58" s="11" t="str">
        <f>IF(($AL$7-ROWS($AH$5:AH58)+1)&gt;=0,$AL$7-ROWS($AH$5:AH58)+1,"")</f>
        <v/>
      </c>
      <c r="AI58" s="24" t="str">
        <f t="shared" si="2"/>
        <v/>
      </c>
    </row>
    <row r="59" spans="7:38" x14ac:dyDescent="0.2">
      <c r="G59" s="11" t="str">
        <f>IF(ROWS($G$7:G59)&gt;$AL$7,"",ROWS($G$7:G59))</f>
        <v/>
      </c>
      <c r="H59" s="14" t="str">
        <f t="shared" si="6"/>
        <v/>
      </c>
      <c r="I59" s="19" t="str">
        <f t="shared" si="7"/>
        <v/>
      </c>
      <c r="N59" s="68" t="str">
        <f ca="1">IF(ROWS($N$8:$N59)&gt;$AL$27+2,"",IF(ROWS($N$8:$N59)=$AL$27+2,ROWS($N$8:$N59)-1,IF(ROWS($N$8:$N59)&lt;=$AL$27,ROWS($N$8:$N59),"Sale")))</f>
        <v/>
      </c>
      <c r="O59" s="33" t="str">
        <f t="shared" ca="1" si="8"/>
        <v/>
      </c>
      <c r="P59" s="73" t="str">
        <f ca="1">IF($N59="Sale",-$AL$40,IF(ROWS($P$8:$P59)=$AL$27+2,"",IF($N59="","",$AL$4)))</f>
        <v/>
      </c>
      <c r="AE59" s="7">
        <v>55</v>
      </c>
      <c r="AF59" s="14" t="str">
        <f t="shared" si="4"/>
        <v/>
      </c>
      <c r="AH59" s="11" t="str">
        <f>IF(($AL$7-ROWS($AH$5:AH59)+1)&gt;=0,$AL$7-ROWS($AH$5:AH59)+1,"")</f>
        <v/>
      </c>
      <c r="AI59" s="24" t="str">
        <f t="shared" si="2"/>
        <v/>
      </c>
    </row>
    <row r="60" spans="7:38" x14ac:dyDescent="0.2">
      <c r="G60" s="11" t="str">
        <f>IF(ROWS($G$7:G60)&gt;$AL$7,"",ROWS($G$7:G60))</f>
        <v/>
      </c>
      <c r="H60" s="14" t="str">
        <f t="shared" si="6"/>
        <v/>
      </c>
      <c r="I60" s="19" t="str">
        <f t="shared" si="7"/>
        <v/>
      </c>
      <c r="N60" s="68" t="str">
        <f ca="1">IF(ROWS($N$8:$N60)&gt;$AL$27+2,"",IF(ROWS($N$8:$N60)=$AL$27+2,ROWS($N$8:$N60)-1,IF(ROWS($N$8:$N60)&lt;=$AL$27,ROWS($N$8:$N60),"Sale")))</f>
        <v/>
      </c>
      <c r="O60" s="33" t="str">
        <f t="shared" ca="1" si="8"/>
        <v/>
      </c>
      <c r="P60" s="73" t="str">
        <f ca="1">IF($N60="Sale",-$AL$40,IF(ROWS($P$8:$P60)=$AL$27+2,"",IF($N60="","",$AL$4)))</f>
        <v/>
      </c>
      <c r="AE60" s="7">
        <v>56</v>
      </c>
      <c r="AF60" s="14" t="str">
        <f t="shared" si="4"/>
        <v/>
      </c>
      <c r="AH60" s="11" t="str">
        <f>IF(($AL$7-ROWS($AH$5:AH60)+1)&gt;=0,$AL$7-ROWS($AH$5:AH60)+1,"")</f>
        <v/>
      </c>
      <c r="AI60" s="24" t="str">
        <f t="shared" si="2"/>
        <v/>
      </c>
    </row>
    <row r="61" spans="7:38" x14ac:dyDescent="0.2">
      <c r="G61" s="11" t="str">
        <f>IF(ROWS($G$7:G61)&gt;$AL$7,"",ROWS($G$7:G61))</f>
        <v/>
      </c>
      <c r="H61" s="14" t="str">
        <f t="shared" si="6"/>
        <v/>
      </c>
      <c r="I61" s="19" t="str">
        <f t="shared" si="7"/>
        <v/>
      </c>
      <c r="N61" s="68" t="str">
        <f ca="1">IF(ROWS($N$8:$N61)&gt;$AL$27+2,"",IF(ROWS($N$8:$N61)=$AL$27+2,ROWS($N$8:$N61)-1,IF(ROWS($N$8:$N61)&lt;=$AL$27,ROWS($N$8:$N61),"Sale")))</f>
        <v/>
      </c>
      <c r="O61" s="33" t="str">
        <f t="shared" ca="1" si="8"/>
        <v/>
      </c>
      <c r="P61" s="73" t="str">
        <f ca="1">IF($N61="Sale",-$AL$40,IF(ROWS($P$8:$P61)=$AL$27+2,"",IF($N61="","",$AL$4)))</f>
        <v/>
      </c>
      <c r="AE61" s="7">
        <v>57</v>
      </c>
      <c r="AF61" s="14" t="str">
        <f t="shared" si="4"/>
        <v/>
      </c>
      <c r="AH61" s="11" t="str">
        <f>IF(($AL$7-ROWS($AH$5:AH61)+1)&gt;=0,$AL$7-ROWS($AH$5:AH61)+1,"")</f>
        <v/>
      </c>
      <c r="AI61" s="24" t="str">
        <f t="shared" si="2"/>
        <v/>
      </c>
    </row>
    <row r="62" spans="7:38" x14ac:dyDescent="0.2">
      <c r="G62" s="11" t="str">
        <f>IF(ROWS($G$7:G62)&gt;$AL$7,"",ROWS($G$7:G62))</f>
        <v/>
      </c>
      <c r="H62" s="14" t="str">
        <f t="shared" si="6"/>
        <v/>
      </c>
      <c r="I62" s="19" t="str">
        <f t="shared" si="7"/>
        <v/>
      </c>
      <c r="N62" s="68" t="str">
        <f ca="1">IF(ROWS($N$8:$N62)&gt;$AL$27+2,"",IF(ROWS($N$8:$N62)=$AL$27+2,ROWS($N$8:$N62)-1,IF(ROWS($N$8:$N62)&lt;=$AL$27,ROWS($N$8:$N62),"Sale")))</f>
        <v/>
      </c>
      <c r="O62" s="33" t="str">
        <f t="shared" ca="1" si="8"/>
        <v/>
      </c>
      <c r="P62" s="73" t="str">
        <f ca="1">IF($N62="Sale",-$AL$40,IF(ROWS($P$8:$P62)=$AL$27+2,"",IF($N62="","",$AL$4)))</f>
        <v/>
      </c>
      <c r="AE62" s="7">
        <v>58</v>
      </c>
      <c r="AF62" s="14" t="str">
        <f t="shared" si="4"/>
        <v/>
      </c>
      <c r="AH62" s="11" t="str">
        <f>IF(($AL$7-ROWS($AH$5:AH62)+1)&gt;=0,$AL$7-ROWS($AH$5:AH62)+1,"")</f>
        <v/>
      </c>
      <c r="AI62" s="24" t="str">
        <f t="shared" si="2"/>
        <v/>
      </c>
    </row>
    <row r="63" spans="7:38" x14ac:dyDescent="0.2">
      <c r="G63" s="11" t="str">
        <f>IF(ROWS($G$7:G63)&gt;$AL$7,"",ROWS($G$7:G63))</f>
        <v/>
      </c>
      <c r="H63" s="14" t="str">
        <f t="shared" si="6"/>
        <v/>
      </c>
      <c r="I63" s="19" t="str">
        <f t="shared" si="7"/>
        <v/>
      </c>
      <c r="N63" s="68" t="str">
        <f ca="1">IF(ROWS($N$8:$N63)&gt;$AL$27+2,"",IF(ROWS($N$8:$N63)=$AL$27+2,ROWS($N$8:$N63)-1,IF(ROWS($N$8:$N63)&lt;=$AL$27,ROWS($N$8:$N63),"Sale")))</f>
        <v/>
      </c>
      <c r="O63" s="33" t="str">
        <f t="shared" ca="1" si="8"/>
        <v/>
      </c>
      <c r="P63" s="73" t="str">
        <f ca="1">IF($N63="Sale",-$AL$40,IF(ROWS($P$8:$P63)=$AL$27+2,"",IF($N63="","",$AL$4)))</f>
        <v/>
      </c>
      <c r="AE63" s="7">
        <v>59</v>
      </c>
      <c r="AF63" s="14" t="str">
        <f t="shared" si="4"/>
        <v/>
      </c>
      <c r="AH63" s="11" t="str">
        <f>IF(($AL$7-ROWS($AH$5:AH63)+1)&gt;=0,$AL$7-ROWS($AH$5:AH63)+1,"")</f>
        <v/>
      </c>
      <c r="AI63" s="24" t="str">
        <f t="shared" si="2"/>
        <v/>
      </c>
    </row>
    <row r="64" spans="7:38" ht="16" thickBot="1" x14ac:dyDescent="0.25">
      <c r="G64" s="11" t="str">
        <f>IF(ROWS($G$7:G64)&gt;$AL$7,"",ROWS($G$7:G64))</f>
        <v/>
      </c>
      <c r="H64" s="14" t="str">
        <f t="shared" si="6"/>
        <v/>
      </c>
      <c r="I64" s="19" t="str">
        <f t="shared" si="7"/>
        <v/>
      </c>
      <c r="N64" s="68" t="str">
        <f ca="1">IF(ROWS($N$8:$N64)&gt;$AL$27+2,"",IF(ROWS($N$8:$N64)=$AL$27+2,ROWS($N$8:$N64)-1,IF(ROWS($N$8:$N64)&lt;=$AL$27,ROWS($N$8:$N64),"Sale")))</f>
        <v/>
      </c>
      <c r="O64" s="33" t="str">
        <f t="shared" ca="1" si="8"/>
        <v/>
      </c>
      <c r="P64" s="73" t="str">
        <f ca="1">IF($N64="Sale",-$AL$40,IF(ROWS($P$8:$P64)=$AL$27+2,"",IF($N64="","",$AL$4)))</f>
        <v/>
      </c>
      <c r="AE64" s="7">
        <v>60</v>
      </c>
      <c r="AF64" s="14" t="str">
        <f t="shared" si="4"/>
        <v/>
      </c>
      <c r="AH64" s="11" t="str">
        <f>IF(($AL$7-ROWS($AH$5:AH64)+1)&gt;=0,$AL$7-ROWS($AH$5:AH64)+1,"")</f>
        <v/>
      </c>
      <c r="AI64" s="24" t="str">
        <f t="shared" si="2"/>
        <v/>
      </c>
    </row>
    <row r="65" spans="7:50" x14ac:dyDescent="0.2">
      <c r="G65" s="11" t="str">
        <f>IF(ROWS($G$7:G65)&gt;$AL$7,"",ROWS($G$7:G65))</f>
        <v/>
      </c>
      <c r="H65" s="14" t="str">
        <f t="shared" si="6"/>
        <v/>
      </c>
      <c r="I65" s="19" t="str">
        <f t="shared" si="7"/>
        <v/>
      </c>
      <c r="N65" s="68" t="str">
        <f ca="1">IF(ROWS($N$8:$N65)&gt;$AL$27+2,"",IF(ROWS($N$8:$N65)=$AL$27+2,ROWS($N$8:$N65)-1,IF(ROWS($N$8:$N65)&lt;=$AL$27,ROWS($N$8:$N65),"Sale")))</f>
        <v/>
      </c>
      <c r="O65" s="33" t="str">
        <f t="shared" ca="1" si="8"/>
        <v/>
      </c>
      <c r="P65" s="73" t="str">
        <f ca="1">IF($N65="Sale",-$AL$40,IF(ROWS($P$8:$P65)=$AL$27+2,"",IF($N65="","",$AL$4)))</f>
        <v/>
      </c>
      <c r="AE65" s="7">
        <v>61</v>
      </c>
      <c r="AF65" s="14" t="str">
        <f t="shared" si="4"/>
        <v/>
      </c>
      <c r="AH65" s="11" t="str">
        <f>IF(($AL$7-ROWS($AH$5:AH65)+1)&gt;=0,$AL$7-ROWS($AH$5:AH65)+1,"")</f>
        <v/>
      </c>
      <c r="AI65" s="24" t="str">
        <f t="shared" si="2"/>
        <v/>
      </c>
      <c r="AS65" s="89" t="s">
        <v>195</v>
      </c>
      <c r="AT65" s="90"/>
      <c r="AU65" s="90"/>
      <c r="AV65" s="90"/>
      <c r="AW65" s="90"/>
      <c r="AX65" s="91"/>
    </row>
    <row r="66" spans="7:50" ht="16" thickBot="1" x14ac:dyDescent="0.25">
      <c r="G66" s="11" t="str">
        <f>IF(ROWS($G$7:G66)&gt;$AL$7,"",ROWS($G$7:G66))</f>
        <v/>
      </c>
      <c r="H66" s="14" t="str">
        <f t="shared" si="6"/>
        <v/>
      </c>
      <c r="I66" s="19" t="str">
        <f t="shared" si="7"/>
        <v/>
      </c>
      <c r="N66" s="68" t="str">
        <f ca="1">IF(ROWS($N$8:$N66)&gt;$AL$27+2,"",IF(ROWS($N$8:$N66)=$AL$27+2,ROWS($N$8:$N66)-1,IF(ROWS($N$8:$N66)&lt;=$AL$27,ROWS($N$8:$N66),"Sale")))</f>
        <v/>
      </c>
      <c r="O66" s="33" t="str">
        <f t="shared" ca="1" si="8"/>
        <v/>
      </c>
      <c r="P66" s="73" t="str">
        <f ca="1">IF($N66="Sale",-$AL$40,IF(ROWS($P$8:$P66)=$AL$27+2,"",IF($N66="","",$AL$4)))</f>
        <v/>
      </c>
      <c r="AE66" s="7">
        <v>62</v>
      </c>
      <c r="AF66" s="14" t="str">
        <f t="shared" si="4"/>
        <v/>
      </c>
      <c r="AH66" s="11" t="str">
        <f>IF(($AL$7-ROWS($AH$5:AH66)+1)&gt;=0,$AL$7-ROWS($AH$5:AH66)+1,"")</f>
        <v/>
      </c>
      <c r="AI66" s="24" t="str">
        <f t="shared" si="2"/>
        <v/>
      </c>
      <c r="AS66" s="92"/>
      <c r="AT66" s="93"/>
      <c r="AU66" s="93"/>
      <c r="AV66" s="93"/>
      <c r="AW66" s="93"/>
      <c r="AX66" s="94"/>
    </row>
    <row r="67" spans="7:50" x14ac:dyDescent="0.2">
      <c r="G67" s="11" t="str">
        <f>IF(ROWS($G$7:G67)&gt;$AL$7,"",ROWS($G$7:G67))</f>
        <v/>
      </c>
      <c r="H67" s="14" t="str">
        <f t="shared" si="6"/>
        <v/>
      </c>
      <c r="I67" s="19" t="str">
        <f t="shared" si="7"/>
        <v/>
      </c>
      <c r="N67" s="68" t="str">
        <f ca="1">IF(ROWS($N$8:$N67)&gt;$AL$27+2,"",IF(ROWS($N$8:$N67)=$AL$27+2,ROWS($N$8:$N67)-1,IF(ROWS($N$8:$N67)&lt;=$AL$27,ROWS($N$8:$N67),"Sale")))</f>
        <v/>
      </c>
      <c r="O67" s="33" t="str">
        <f t="shared" ca="1" si="8"/>
        <v/>
      </c>
      <c r="P67" s="73" t="str">
        <f ca="1">IF($N67="Sale",-$AL$40,IF(ROWS($P$8:$P67)=$AL$27+2,"",IF($N67="","",$AL$4)))</f>
        <v/>
      </c>
      <c r="AE67" s="7">
        <v>63</v>
      </c>
      <c r="AF67" s="14" t="str">
        <f t="shared" si="4"/>
        <v/>
      </c>
      <c r="AH67" s="11" t="str">
        <f>IF(($AL$7-ROWS($AH$5:AH67)+1)&gt;=0,$AL$7-ROWS($AH$5:AH67)+1,"")</f>
        <v/>
      </c>
      <c r="AI67" s="24" t="str">
        <f t="shared" si="2"/>
        <v/>
      </c>
    </row>
    <row r="68" spans="7:50" x14ac:dyDescent="0.2">
      <c r="G68" s="11" t="str">
        <f>IF(ROWS($G$7:G68)&gt;$AL$7,"",ROWS($G$7:G68))</f>
        <v/>
      </c>
      <c r="H68" s="14" t="str">
        <f t="shared" si="6"/>
        <v/>
      </c>
      <c r="I68" s="19" t="str">
        <f t="shared" si="7"/>
        <v/>
      </c>
      <c r="N68" s="68" t="str">
        <f ca="1">IF(ROWS($N$8:$N68)&gt;$AL$27+2,"",IF(ROWS($N$8:$N68)=$AL$27+2,ROWS($N$8:$N68)-1,IF(ROWS($N$8:$N68)&lt;=$AL$27,ROWS($N$8:$N68),"Sale")))</f>
        <v/>
      </c>
      <c r="O68" s="33" t="str">
        <f t="shared" ca="1" si="8"/>
        <v/>
      </c>
      <c r="P68" s="73" t="str">
        <f ca="1">IF($N68="Sale",-$AL$40,IF(ROWS($P$8:$P68)=$AL$27+2,"",IF($N68="","",$AL$4)))</f>
        <v/>
      </c>
      <c r="AE68" s="7">
        <v>64</v>
      </c>
      <c r="AF68" s="14" t="str">
        <f t="shared" si="4"/>
        <v/>
      </c>
      <c r="AH68" s="11" t="str">
        <f>IF(($AL$7-ROWS($AH$5:AH68)+1)&gt;=0,$AL$7-ROWS($AH$5:AH68)+1,"")</f>
        <v/>
      </c>
      <c r="AI68" s="24" t="str">
        <f t="shared" si="2"/>
        <v/>
      </c>
    </row>
    <row r="69" spans="7:50" x14ac:dyDescent="0.2">
      <c r="G69" s="11" t="str">
        <f>IF(ROWS($G$7:G69)&gt;$AL$7,"",ROWS($G$7:G69))</f>
        <v/>
      </c>
      <c r="H69" s="14" t="str">
        <f t="shared" si="6"/>
        <v/>
      </c>
      <c r="I69" s="19" t="str">
        <f t="shared" si="7"/>
        <v/>
      </c>
      <c r="N69" s="68" t="str">
        <f ca="1">IF(ROWS($N$8:$N69)&gt;$AL$27+2,"",IF(ROWS($N$8:$N69)=$AL$27+2,ROWS($N$8:$N69)-1,IF(ROWS($N$8:$N69)&lt;=$AL$27,ROWS($N$8:$N69),"Sale")))</f>
        <v/>
      </c>
      <c r="O69" s="33" t="str">
        <f t="shared" ca="1" si="8"/>
        <v/>
      </c>
      <c r="P69" s="73" t="str">
        <f ca="1">IF($N69="Sale",-$AL$40,IF(ROWS($P$8:$P69)=$AL$27+2,"",IF($N69="","",$AL$4)))</f>
        <v/>
      </c>
      <c r="AE69" s="7">
        <v>65</v>
      </c>
      <c r="AF69" s="14" t="str">
        <f t="shared" si="4"/>
        <v/>
      </c>
      <c r="AH69" s="11" t="str">
        <f>IF(($AL$7-ROWS($AH$5:AH69)+1)&gt;=0,$AL$7-ROWS($AH$5:AH69)+1,"")</f>
        <v/>
      </c>
      <c r="AI69" s="24" t="str">
        <f t="shared" si="2"/>
        <v/>
      </c>
    </row>
    <row r="70" spans="7:50" x14ac:dyDescent="0.2">
      <c r="G70" s="11" t="str">
        <f>IF(ROWS($G$7:G70)&gt;$AL$7,"",ROWS($G$7:G70))</f>
        <v/>
      </c>
      <c r="H70" s="14" t="str">
        <f t="shared" si="6"/>
        <v/>
      </c>
      <c r="I70" s="19" t="str">
        <f t="shared" si="7"/>
        <v/>
      </c>
      <c r="N70" s="68" t="str">
        <f ca="1">IF(ROWS($N$8:$N70)&gt;$AL$27+2,"",IF(ROWS($N$8:$N70)=$AL$27+2,ROWS($N$8:$N70)-1,IF(ROWS($N$8:$N70)&lt;=$AL$27,ROWS($N$8:$N70),"Sale")))</f>
        <v/>
      </c>
      <c r="O70" s="33" t="str">
        <f t="shared" ca="1" si="8"/>
        <v/>
      </c>
      <c r="P70" s="73" t="str">
        <f ca="1">IF($N70="Sale",-$AL$40,IF(ROWS($P$8:$P70)=$AL$27+2,"",IF($N70="","",$AL$4)))</f>
        <v/>
      </c>
      <c r="AE70" s="7">
        <v>66</v>
      </c>
      <c r="AF70" s="14" t="str">
        <f t="shared" si="4"/>
        <v/>
      </c>
      <c r="AH70" s="11" t="str">
        <f>IF(($AL$7-ROWS($AH$5:AH70)+1)&gt;=0,$AL$7-ROWS($AH$5:AH70)+1,"")</f>
        <v/>
      </c>
      <c r="AI70" s="24" t="str">
        <f t="shared" ref="AI70:AI104" si="17">IF($AH70="","",-PV($AL$17,$AH70,$AL$4,$B$9))</f>
        <v/>
      </c>
    </row>
    <row r="71" spans="7:50" x14ac:dyDescent="0.2">
      <c r="G71" s="11" t="str">
        <f>IF(ROWS($G$7:G71)&gt;$AL$7,"",ROWS($G$7:G71))</f>
        <v/>
      </c>
      <c r="H71" s="14" t="str">
        <f t="shared" si="6"/>
        <v/>
      </c>
      <c r="I71" s="19" t="str">
        <f t="shared" si="7"/>
        <v/>
      </c>
      <c r="N71" s="68" t="str">
        <f ca="1">IF(ROWS($N$8:$N71)&gt;$AL$27+2,"",IF(ROWS($N$8:$N71)=$AL$27+2,ROWS($N$8:$N71)-1,IF(ROWS($N$8:$N71)&lt;=$AL$27,ROWS($N$8:$N71),"Sale")))</f>
        <v/>
      </c>
      <c r="O71" s="33" t="str">
        <f t="shared" ca="1" si="8"/>
        <v/>
      </c>
      <c r="P71" s="73" t="str">
        <f ca="1">IF($N71="Sale",-$AL$40,IF(ROWS($P$8:$P71)=$AL$27+2,"",IF($N71="","",$AL$4)))</f>
        <v/>
      </c>
      <c r="AE71" s="7">
        <v>67</v>
      </c>
      <c r="AF71" s="14" t="str">
        <f t="shared" ref="AF71:AF104" si="18">IF(EDATE($AF$5,-($AE71-1)*$AL$3)&lt;=$B$17,"",EDATE($AF$5,-($AE71-1)*$AL$3))</f>
        <v/>
      </c>
      <c r="AH71" s="11" t="str">
        <f>IF(($AL$7-ROWS($AH$5:AH71)+1)&gt;=0,$AL$7-ROWS($AH$5:AH71)+1,"")</f>
        <v/>
      </c>
      <c r="AI71" s="24" t="str">
        <f t="shared" si="17"/>
        <v/>
      </c>
    </row>
    <row r="72" spans="7:50" x14ac:dyDescent="0.2">
      <c r="G72" s="11" t="str">
        <f>IF(ROWS($G$7:G72)&gt;$AL$7,"",ROWS($G$7:G72))</f>
        <v/>
      </c>
      <c r="H72" s="14" t="str">
        <f t="shared" ref="H72:H106" si="19">IF($G72="","",VLOOKUP($AL$7-$G72+1,$AE$5:$AF$104,2))</f>
        <v/>
      </c>
      <c r="I72" s="19" t="str">
        <f t="shared" ref="I72:I106" si="20">IF($G72="","",IF($G72=$AL$7,$B$9+$AL$4,$AL$4))</f>
        <v/>
      </c>
      <c r="N72" s="68" t="str">
        <f ca="1">IF(ROWS($N$8:$N72)&gt;$AL$27+2,"",IF(ROWS($N$8:$N72)=$AL$27+2,ROWS($N$8:$N72)-1,IF(ROWS($N$8:$N72)&lt;=$AL$27,ROWS($N$8:$N72),"Sale")))</f>
        <v/>
      </c>
      <c r="O72" s="33" t="str">
        <f t="shared" ca="1" si="8"/>
        <v/>
      </c>
      <c r="P72" s="73" t="str">
        <f ca="1">IF($N72="Sale",-$AL$40,IF(ROWS($P$8:$P72)=$AL$27+2,"",IF($N72="","",$AL$4)))</f>
        <v/>
      </c>
      <c r="AE72" s="7">
        <v>68</v>
      </c>
      <c r="AF72" s="14" t="str">
        <f t="shared" si="18"/>
        <v/>
      </c>
      <c r="AH72" s="11" t="str">
        <f>IF(($AL$7-ROWS($AH$5:AH72)+1)&gt;=0,$AL$7-ROWS($AH$5:AH72)+1,"")</f>
        <v/>
      </c>
      <c r="AI72" s="24" t="str">
        <f t="shared" si="17"/>
        <v/>
      </c>
    </row>
    <row r="73" spans="7:50" x14ac:dyDescent="0.2">
      <c r="G73" s="11" t="str">
        <f>IF(ROWS($G$7:G73)&gt;$AL$7,"",ROWS($G$7:G73))</f>
        <v/>
      </c>
      <c r="H73" s="14" t="str">
        <f t="shared" si="19"/>
        <v/>
      </c>
      <c r="I73" s="19" t="str">
        <f t="shared" si="20"/>
        <v/>
      </c>
      <c r="N73" s="68" t="str">
        <f ca="1">IF(ROWS($N$8:$N73)&gt;$AL$27+2,"",IF(ROWS($N$8:$N73)=$AL$27+2,ROWS($N$8:$N73)-1,IF(ROWS($N$8:$N73)&lt;=$AL$27,ROWS($N$8:$N73),"Sale")))</f>
        <v/>
      </c>
      <c r="O73" s="33" t="str">
        <f t="shared" ref="O73:O108" ca="1" si="21">IF($N73="Sale",$B$26,IF($N73="","",VLOOKUP($AL$7-$N73+1,$AE$5:$AF$104,2)))</f>
        <v/>
      </c>
      <c r="P73" s="73" t="str">
        <f ca="1">IF($N73="Sale",-$AL$40,IF(ROWS($P$8:$P73)=$AL$27+2,"",IF($N73="","",$AL$4)))</f>
        <v/>
      </c>
      <c r="AE73" s="7">
        <v>69</v>
      </c>
      <c r="AF73" s="14" t="str">
        <f t="shared" si="18"/>
        <v/>
      </c>
      <c r="AH73" s="11" t="str">
        <f>IF(($AL$7-ROWS($AH$5:AH73)+1)&gt;=0,$AL$7-ROWS($AH$5:AH73)+1,"")</f>
        <v/>
      </c>
      <c r="AI73" s="24" t="str">
        <f t="shared" si="17"/>
        <v/>
      </c>
    </row>
    <row r="74" spans="7:50" x14ac:dyDescent="0.2">
      <c r="G74" s="11" t="str">
        <f>IF(ROWS($G$7:G74)&gt;$AL$7,"",ROWS($G$7:G74))</f>
        <v/>
      </c>
      <c r="H74" s="14" t="str">
        <f t="shared" si="19"/>
        <v/>
      </c>
      <c r="I74" s="19" t="str">
        <f t="shared" si="20"/>
        <v/>
      </c>
      <c r="N74" s="68" t="str">
        <f ca="1">IF(ROWS($N$8:$N74)&gt;$AL$27+2,"",IF(ROWS($N$8:$N74)=$AL$27+2,ROWS($N$8:$N74)-1,IF(ROWS($N$8:$N74)&lt;=$AL$27,ROWS($N$8:$N74),"Sale")))</f>
        <v/>
      </c>
      <c r="O74" s="33" t="str">
        <f t="shared" ca="1" si="21"/>
        <v/>
      </c>
      <c r="P74" s="73" t="str">
        <f ca="1">IF($N74="Sale",-$AL$40,IF(ROWS($P$8:$P74)=$AL$27+2,"",IF($N74="","",$AL$4)))</f>
        <v/>
      </c>
      <c r="AE74" s="7">
        <v>70</v>
      </c>
      <c r="AF74" s="14" t="str">
        <f t="shared" si="18"/>
        <v/>
      </c>
      <c r="AH74" s="11" t="str">
        <f>IF(($AL$7-ROWS($AH$5:AH74)+1)&gt;=0,$AL$7-ROWS($AH$5:AH74)+1,"")</f>
        <v/>
      </c>
      <c r="AI74" s="24" t="str">
        <f t="shared" si="17"/>
        <v/>
      </c>
    </row>
    <row r="75" spans="7:50" x14ac:dyDescent="0.2">
      <c r="G75" s="11" t="str">
        <f>IF(ROWS($G$7:G75)&gt;$AL$7,"",ROWS($G$7:G75))</f>
        <v/>
      </c>
      <c r="H75" s="14" t="str">
        <f t="shared" si="19"/>
        <v/>
      </c>
      <c r="I75" s="19" t="str">
        <f t="shared" si="20"/>
        <v/>
      </c>
      <c r="N75" s="68" t="str">
        <f ca="1">IF(ROWS($N$8:$N75)&gt;$AL$27+2,"",IF(ROWS($N$8:$N75)=$AL$27+2,ROWS($N$8:$N75)-1,IF(ROWS($N$8:$N75)&lt;=$AL$27,ROWS($N$8:$N75),"Sale")))</f>
        <v/>
      </c>
      <c r="O75" s="33" t="str">
        <f t="shared" ca="1" si="21"/>
        <v/>
      </c>
      <c r="P75" s="73" t="str">
        <f ca="1">IF($N75="Sale",-$AL$40,IF(ROWS($P$8:$P75)=$AL$27+2,"",IF($N75="","",$AL$4)))</f>
        <v/>
      </c>
      <c r="AE75" s="7">
        <v>71</v>
      </c>
      <c r="AF75" s="14" t="str">
        <f t="shared" si="18"/>
        <v/>
      </c>
      <c r="AH75" s="11" t="str">
        <f>IF(($AL$7-ROWS($AH$5:AH75)+1)&gt;=0,$AL$7-ROWS($AH$5:AH75)+1,"")</f>
        <v/>
      </c>
      <c r="AI75" s="24" t="str">
        <f t="shared" si="17"/>
        <v/>
      </c>
    </row>
    <row r="76" spans="7:50" x14ac:dyDescent="0.2">
      <c r="G76" s="11" t="str">
        <f>IF(ROWS($G$7:G76)&gt;$AL$7,"",ROWS($G$7:G76))</f>
        <v/>
      </c>
      <c r="H76" s="14" t="str">
        <f t="shared" si="19"/>
        <v/>
      </c>
      <c r="I76" s="19" t="str">
        <f t="shared" si="20"/>
        <v/>
      </c>
      <c r="N76" s="68" t="str">
        <f ca="1">IF(ROWS($N$8:$N76)&gt;$AL$27+2,"",IF(ROWS($N$8:$N76)=$AL$27+2,ROWS($N$8:$N76)-1,IF(ROWS($N$8:$N76)&lt;=$AL$27,ROWS($N$8:$N76),"Sale")))</f>
        <v/>
      </c>
      <c r="O76" s="33" t="str">
        <f t="shared" ca="1" si="21"/>
        <v/>
      </c>
      <c r="P76" s="73" t="str">
        <f ca="1">IF($N76="Sale",-$AL$40,IF(ROWS($P$8:$P76)=$AL$27+2,"",IF($N76="","",$AL$4)))</f>
        <v/>
      </c>
      <c r="AE76" s="7">
        <v>72</v>
      </c>
      <c r="AF76" s="14" t="str">
        <f>IF(EDATE($AF$5,-($AE76-1)*$AL$3)&lt;=$B$17,"",EDATE($AF$5,-($AE76-1)*$AL$3))</f>
        <v/>
      </c>
      <c r="AH76" s="11" t="str">
        <f>IF(($AL$7-ROWS($AH$5:AH76)+1)&gt;=0,$AL$7-ROWS($AH$5:AH76)+1,"")</f>
        <v/>
      </c>
      <c r="AI76" s="24" t="str">
        <f t="shared" si="17"/>
        <v/>
      </c>
    </row>
    <row r="77" spans="7:50" x14ac:dyDescent="0.2">
      <c r="G77" s="11" t="str">
        <f>IF(ROWS($G$7:G77)&gt;$AL$7,"",ROWS($G$7:G77))</f>
        <v/>
      </c>
      <c r="H77" s="14" t="str">
        <f t="shared" si="19"/>
        <v/>
      </c>
      <c r="I77" s="19" t="str">
        <f t="shared" si="20"/>
        <v/>
      </c>
      <c r="N77" s="68" t="str">
        <f ca="1">IF(ROWS($N$8:$N77)&gt;$AL$27+2,"",IF(ROWS($N$8:$N77)=$AL$27+2,ROWS($N$8:$N77)-1,IF(ROWS($N$8:$N77)&lt;=$AL$27,ROWS($N$8:$N77),"Sale")))</f>
        <v/>
      </c>
      <c r="O77" s="33" t="str">
        <f t="shared" ca="1" si="21"/>
        <v/>
      </c>
      <c r="P77" s="73" t="str">
        <f ca="1">IF($N77="Sale",-$AL$40,IF(ROWS($P$8:$P77)=$AL$27+2,"",IF($N77="","",$AL$4)))</f>
        <v/>
      </c>
      <c r="AE77" s="7">
        <v>73</v>
      </c>
      <c r="AF77" s="14" t="str">
        <f t="shared" si="18"/>
        <v/>
      </c>
      <c r="AH77" s="11" t="str">
        <f>IF(($AL$7-ROWS($AH$5:AH77)+1)&gt;=0,$AL$7-ROWS($AH$5:AH77)+1,"")</f>
        <v/>
      </c>
      <c r="AI77" s="24" t="str">
        <f t="shared" si="17"/>
        <v/>
      </c>
    </row>
    <row r="78" spans="7:50" x14ac:dyDescent="0.2">
      <c r="G78" s="11" t="str">
        <f>IF(ROWS($G$7:G78)&gt;$AL$7,"",ROWS($G$7:G78))</f>
        <v/>
      </c>
      <c r="H78" s="14" t="str">
        <f t="shared" si="19"/>
        <v/>
      </c>
      <c r="I78" s="19" t="str">
        <f t="shared" si="20"/>
        <v/>
      </c>
      <c r="N78" s="68" t="str">
        <f ca="1">IF(ROWS($N$8:$N78)&gt;$AL$27+2,"",IF(ROWS($N$8:$N78)=$AL$27+2,ROWS($N$8:$N78)-1,IF(ROWS($N$8:$N78)&lt;=$AL$27,ROWS($N$8:$N78),"Sale")))</f>
        <v/>
      </c>
      <c r="O78" s="33" t="str">
        <f t="shared" ca="1" si="21"/>
        <v/>
      </c>
      <c r="P78" s="73" t="str">
        <f ca="1">IF($N78="Sale",-$AL$40,IF(ROWS($P$8:$P78)=$AL$27+2,"",IF($N78="","",$AL$4)))</f>
        <v/>
      </c>
      <c r="AE78" s="7">
        <v>74</v>
      </c>
      <c r="AF78" s="14" t="str">
        <f t="shared" si="18"/>
        <v/>
      </c>
      <c r="AH78" s="11" t="str">
        <f>IF(($AL$7-ROWS($AH$5:AH78)+1)&gt;=0,$AL$7-ROWS($AH$5:AH78)+1,"")</f>
        <v/>
      </c>
      <c r="AI78" s="24" t="str">
        <f t="shared" si="17"/>
        <v/>
      </c>
    </row>
    <row r="79" spans="7:50" x14ac:dyDescent="0.2">
      <c r="G79" s="11" t="str">
        <f>IF(ROWS($G$7:G79)&gt;$AL$7,"",ROWS($G$7:G79))</f>
        <v/>
      </c>
      <c r="H79" s="14" t="str">
        <f t="shared" si="19"/>
        <v/>
      </c>
      <c r="I79" s="19" t="str">
        <f t="shared" si="20"/>
        <v/>
      </c>
      <c r="N79" s="68" t="str">
        <f ca="1">IF(ROWS($N$8:$N79)&gt;$AL$27+2,"",IF(ROWS($N$8:$N79)=$AL$27+2,ROWS($N$8:$N79)-1,IF(ROWS($N$8:$N79)&lt;=$AL$27,ROWS($N$8:$N79),"Sale")))</f>
        <v/>
      </c>
      <c r="O79" s="33" t="str">
        <f t="shared" ca="1" si="21"/>
        <v/>
      </c>
      <c r="P79" s="73" t="str">
        <f ca="1">IF($N79="Sale",-$AL$40,IF(ROWS($P$8:$P79)=$AL$27+2,"",IF($N79="","",$AL$4)))</f>
        <v/>
      </c>
      <c r="AE79" s="7">
        <v>75</v>
      </c>
      <c r="AF79" s="14" t="str">
        <f t="shared" si="18"/>
        <v/>
      </c>
      <c r="AH79" s="11" t="str">
        <f>IF(($AL$7-ROWS($AH$5:AH79)+1)&gt;=0,$AL$7-ROWS($AH$5:AH79)+1,"")</f>
        <v/>
      </c>
      <c r="AI79" s="24" t="str">
        <f t="shared" si="17"/>
        <v/>
      </c>
    </row>
    <row r="80" spans="7:50" x14ac:dyDescent="0.2">
      <c r="G80" s="11" t="str">
        <f>IF(ROWS($G$7:G80)&gt;$AL$7,"",ROWS($G$7:G80))</f>
        <v/>
      </c>
      <c r="H80" s="14" t="str">
        <f t="shared" si="19"/>
        <v/>
      </c>
      <c r="I80" s="19" t="str">
        <f t="shared" si="20"/>
        <v/>
      </c>
      <c r="N80" s="68" t="str">
        <f ca="1">IF(ROWS($N$8:$N80)&gt;$AL$27+2,"",IF(ROWS($N$8:$N80)=$AL$27+2,ROWS($N$8:$N80)-1,IF(ROWS($N$8:$N80)&lt;=$AL$27,ROWS($N$8:$N80),"Sale")))</f>
        <v/>
      </c>
      <c r="O80" s="33" t="str">
        <f t="shared" ca="1" si="21"/>
        <v/>
      </c>
      <c r="P80" s="73" t="str">
        <f ca="1">IF($N80="Sale",-$AL$40,IF(ROWS($P$8:$P80)=$AL$27+2,"",IF($N80="","",$AL$4)))</f>
        <v/>
      </c>
      <c r="AE80" s="7">
        <v>76</v>
      </c>
      <c r="AF80" s="14" t="str">
        <f t="shared" si="18"/>
        <v/>
      </c>
      <c r="AH80" s="11" t="str">
        <f>IF(($AL$7-ROWS($AH$5:AH80)+1)&gt;=0,$AL$7-ROWS($AH$5:AH80)+1,"")</f>
        <v/>
      </c>
      <c r="AI80" s="24" t="str">
        <f t="shared" si="17"/>
        <v/>
      </c>
    </row>
    <row r="81" spans="7:35" x14ac:dyDescent="0.2">
      <c r="G81" s="11" t="str">
        <f>IF(ROWS($G$7:G81)&gt;$AL$7,"",ROWS($G$7:G81))</f>
        <v/>
      </c>
      <c r="H81" s="14" t="str">
        <f t="shared" si="19"/>
        <v/>
      </c>
      <c r="I81" s="19" t="str">
        <f t="shared" si="20"/>
        <v/>
      </c>
      <c r="N81" s="68" t="str">
        <f ca="1">IF(ROWS($N$8:$N81)&gt;$AL$27+2,"",IF(ROWS($N$8:$N81)=$AL$27+2,ROWS($N$8:$N81)-1,IF(ROWS($N$8:$N81)&lt;=$AL$27,ROWS($N$8:$N81),"Sale")))</f>
        <v/>
      </c>
      <c r="O81" s="33" t="str">
        <f t="shared" ca="1" si="21"/>
        <v/>
      </c>
      <c r="P81" s="73" t="str">
        <f ca="1">IF($N81="Sale",-$AL$40,IF(ROWS($P$8:$P81)=$AL$27+2,"",IF($N81="","",$AL$4)))</f>
        <v/>
      </c>
      <c r="AE81" s="7">
        <v>77</v>
      </c>
      <c r="AF81" s="14" t="str">
        <f t="shared" si="18"/>
        <v/>
      </c>
      <c r="AH81" s="11" t="str">
        <f>IF(($AL$7-ROWS($AH$5:AH81)+1)&gt;=0,$AL$7-ROWS($AH$5:AH81)+1,"")</f>
        <v/>
      </c>
      <c r="AI81" s="24" t="str">
        <f t="shared" si="17"/>
        <v/>
      </c>
    </row>
    <row r="82" spans="7:35" x14ac:dyDescent="0.2">
      <c r="G82" s="11" t="str">
        <f>IF(ROWS($G$7:G82)&gt;$AL$7,"",ROWS($G$7:G82))</f>
        <v/>
      </c>
      <c r="H82" s="14" t="str">
        <f t="shared" si="19"/>
        <v/>
      </c>
      <c r="I82" s="19" t="str">
        <f t="shared" si="20"/>
        <v/>
      </c>
      <c r="N82" s="68" t="str">
        <f ca="1">IF(ROWS($N$8:$N82)&gt;$AL$27+2,"",IF(ROWS($N$8:$N82)=$AL$27+2,ROWS($N$8:$N82)-1,IF(ROWS($N$8:$N82)&lt;=$AL$27,ROWS($N$8:$N82),"Sale")))</f>
        <v/>
      </c>
      <c r="O82" s="33" t="str">
        <f t="shared" ca="1" si="21"/>
        <v/>
      </c>
      <c r="P82" s="73" t="str">
        <f ca="1">IF($N82="Sale",-$AL$40,IF(ROWS($P$8:$P82)=$AL$27+2,"",IF($N82="","",$AL$4)))</f>
        <v/>
      </c>
      <c r="AE82" s="7">
        <v>78</v>
      </c>
      <c r="AF82" s="14" t="str">
        <f t="shared" si="18"/>
        <v/>
      </c>
      <c r="AH82" s="11" t="str">
        <f>IF(($AL$7-ROWS($AH$5:AH82)+1)&gt;=0,$AL$7-ROWS($AH$5:AH82)+1,"")</f>
        <v/>
      </c>
      <c r="AI82" s="24" t="str">
        <f t="shared" si="17"/>
        <v/>
      </c>
    </row>
    <row r="83" spans="7:35" x14ac:dyDescent="0.2">
      <c r="G83" s="11" t="str">
        <f>IF(ROWS($G$7:G83)&gt;$AL$7,"",ROWS($G$7:G83))</f>
        <v/>
      </c>
      <c r="H83" s="14" t="str">
        <f t="shared" si="19"/>
        <v/>
      </c>
      <c r="I83" s="19" t="str">
        <f t="shared" si="20"/>
        <v/>
      </c>
      <c r="N83" s="68" t="str">
        <f ca="1">IF(ROWS($N$8:$N83)&gt;$AL$27+2,"",IF(ROWS($N$8:$N83)=$AL$27+2,ROWS($N$8:$N83)-1,IF(ROWS($N$8:$N83)&lt;=$AL$27,ROWS($N$8:$N83),"Sale")))</f>
        <v/>
      </c>
      <c r="O83" s="33" t="str">
        <f t="shared" ca="1" si="21"/>
        <v/>
      </c>
      <c r="P83" s="73" t="str">
        <f ca="1">IF($N83="Sale",-$AL$40,IF(ROWS($P$8:$P83)=$AL$27+2,"",IF($N83="","",$AL$4)))</f>
        <v/>
      </c>
      <c r="AE83" s="7">
        <v>79</v>
      </c>
      <c r="AF83" s="14" t="str">
        <f t="shared" si="18"/>
        <v/>
      </c>
      <c r="AH83" s="11" t="str">
        <f>IF(($AL$7-ROWS($AH$5:AH83)+1)&gt;=0,$AL$7-ROWS($AH$5:AH83)+1,"")</f>
        <v/>
      </c>
      <c r="AI83" s="24" t="str">
        <f t="shared" si="17"/>
        <v/>
      </c>
    </row>
    <row r="84" spans="7:35" x14ac:dyDescent="0.2">
      <c r="G84" s="11" t="str">
        <f>IF(ROWS($G$7:G84)&gt;$AL$7,"",ROWS($G$7:G84))</f>
        <v/>
      </c>
      <c r="H84" s="14" t="str">
        <f t="shared" si="19"/>
        <v/>
      </c>
      <c r="I84" s="19" t="str">
        <f t="shared" si="20"/>
        <v/>
      </c>
      <c r="N84" s="68" t="str">
        <f ca="1">IF(ROWS($N$8:$N84)&gt;$AL$27+2,"",IF(ROWS($N$8:$N84)=$AL$27+2,ROWS($N$8:$N84)-1,IF(ROWS($N$8:$N84)&lt;=$AL$27,ROWS($N$8:$N84),"Sale")))</f>
        <v/>
      </c>
      <c r="O84" s="33" t="str">
        <f t="shared" ca="1" si="21"/>
        <v/>
      </c>
      <c r="P84" s="73" t="str">
        <f ca="1">IF($N84="Sale",-$AL$40,IF(ROWS($P$8:$P84)=$AL$27+2,"",IF($N84="","",$AL$4)))</f>
        <v/>
      </c>
      <c r="AE84" s="7">
        <v>80</v>
      </c>
      <c r="AF84" s="14" t="str">
        <f t="shared" si="18"/>
        <v/>
      </c>
      <c r="AH84" s="11" t="str">
        <f>IF(($AL$7-ROWS($AH$5:AH84)+1)&gt;=0,$AL$7-ROWS($AH$5:AH84)+1,"")</f>
        <v/>
      </c>
      <c r="AI84" s="24" t="str">
        <f t="shared" si="17"/>
        <v/>
      </c>
    </row>
    <row r="85" spans="7:35" x14ac:dyDescent="0.2">
      <c r="G85" s="11" t="str">
        <f>IF(ROWS($G$7:G85)&gt;$AL$7,"",ROWS($G$7:G85))</f>
        <v/>
      </c>
      <c r="H85" s="14" t="str">
        <f t="shared" si="19"/>
        <v/>
      </c>
      <c r="I85" s="19" t="str">
        <f t="shared" si="20"/>
        <v/>
      </c>
      <c r="N85" s="68" t="str">
        <f ca="1">IF(ROWS($N$8:$N85)&gt;$AL$27+2,"",IF(ROWS($N$8:$N85)=$AL$27+2,ROWS($N$8:$N85)-1,IF(ROWS($N$8:$N85)&lt;=$AL$27,ROWS($N$8:$N85),"Sale")))</f>
        <v/>
      </c>
      <c r="O85" s="33" t="str">
        <f t="shared" ca="1" si="21"/>
        <v/>
      </c>
      <c r="P85" s="73" t="str">
        <f ca="1">IF($N85="Sale",-$AL$40,IF(ROWS($P$8:$P85)=$AL$27+2,"",IF($N85="","",$AL$4)))</f>
        <v/>
      </c>
      <c r="AE85" s="7">
        <v>81</v>
      </c>
      <c r="AF85" s="14" t="str">
        <f t="shared" si="18"/>
        <v/>
      </c>
      <c r="AH85" s="11" t="str">
        <f>IF(($AL$7-ROWS($AH$5:AH85)+1)&gt;=0,$AL$7-ROWS($AH$5:AH85)+1,"")</f>
        <v/>
      </c>
      <c r="AI85" s="24" t="str">
        <f t="shared" si="17"/>
        <v/>
      </c>
    </row>
    <row r="86" spans="7:35" x14ac:dyDescent="0.2">
      <c r="G86" s="11" t="str">
        <f>IF(ROWS($G$7:G86)&gt;$AL$7,"",ROWS($G$7:G86))</f>
        <v/>
      </c>
      <c r="H86" s="14" t="str">
        <f t="shared" si="19"/>
        <v/>
      </c>
      <c r="I86" s="19" t="str">
        <f t="shared" si="20"/>
        <v/>
      </c>
      <c r="N86" s="68" t="str">
        <f ca="1">IF(ROWS($N$8:$N86)&gt;$AL$27+2,"",IF(ROWS($N$8:$N86)=$AL$27+2,ROWS($N$8:$N86)-1,IF(ROWS($N$8:$N86)&lt;=$AL$27,ROWS($N$8:$N86),"Sale")))</f>
        <v/>
      </c>
      <c r="O86" s="33" t="str">
        <f t="shared" ca="1" si="21"/>
        <v/>
      </c>
      <c r="P86" s="73" t="str">
        <f ca="1">IF($N86="Sale",-$AL$40,IF(ROWS($P$8:$P86)=$AL$27+2,"",IF($N86="","",$AL$4)))</f>
        <v/>
      </c>
      <c r="AE86" s="7">
        <v>82</v>
      </c>
      <c r="AF86" s="14" t="str">
        <f t="shared" si="18"/>
        <v/>
      </c>
      <c r="AH86" s="11" t="str">
        <f>IF(($AL$7-ROWS($AH$5:AH86)+1)&gt;=0,$AL$7-ROWS($AH$5:AH86)+1,"")</f>
        <v/>
      </c>
      <c r="AI86" s="24" t="str">
        <f t="shared" si="17"/>
        <v/>
      </c>
    </row>
    <row r="87" spans="7:35" x14ac:dyDescent="0.2">
      <c r="G87" s="11" t="str">
        <f>IF(ROWS($G$7:G87)&gt;$AL$7,"",ROWS($G$7:G87))</f>
        <v/>
      </c>
      <c r="H87" s="14" t="str">
        <f t="shared" si="19"/>
        <v/>
      </c>
      <c r="I87" s="19" t="str">
        <f t="shared" si="20"/>
        <v/>
      </c>
      <c r="N87" s="68" t="str">
        <f ca="1">IF(ROWS($N$8:$N87)&gt;$AL$27+2,"",IF(ROWS($N$8:$N87)=$AL$27+2,ROWS($N$8:$N87)-1,IF(ROWS($N$8:$N87)&lt;=$AL$27,ROWS($N$8:$N87),"Sale")))</f>
        <v/>
      </c>
      <c r="O87" s="33" t="str">
        <f t="shared" ca="1" si="21"/>
        <v/>
      </c>
      <c r="P87" s="73" t="str">
        <f ca="1">IF($N87="Sale",-$AL$40,IF(ROWS($P$8:$P87)=$AL$27+2,"",IF($N87="","",$AL$4)))</f>
        <v/>
      </c>
      <c r="AE87" s="7">
        <v>83</v>
      </c>
      <c r="AF87" s="14" t="str">
        <f t="shared" si="18"/>
        <v/>
      </c>
      <c r="AH87" s="11" t="str">
        <f>IF(($AL$7-ROWS($AH$5:AH87)+1)&gt;=0,$AL$7-ROWS($AH$5:AH87)+1,"")</f>
        <v/>
      </c>
      <c r="AI87" s="24" t="str">
        <f t="shared" si="17"/>
        <v/>
      </c>
    </row>
    <row r="88" spans="7:35" x14ac:dyDescent="0.2">
      <c r="G88" s="11" t="str">
        <f>IF(ROWS($G$7:G88)&gt;$AL$7,"",ROWS($G$7:G88))</f>
        <v/>
      </c>
      <c r="H88" s="14" t="str">
        <f t="shared" si="19"/>
        <v/>
      </c>
      <c r="I88" s="19" t="str">
        <f t="shared" si="20"/>
        <v/>
      </c>
      <c r="N88" s="68" t="str">
        <f ca="1">IF(ROWS($N$8:$N88)&gt;$AL$27+2,"",IF(ROWS($N$8:$N88)=$AL$27+2,ROWS($N$8:$N88)-1,IF(ROWS($N$8:$N88)&lt;=$AL$27,ROWS($N$8:$N88),"Sale")))</f>
        <v/>
      </c>
      <c r="O88" s="33" t="str">
        <f t="shared" ca="1" si="21"/>
        <v/>
      </c>
      <c r="P88" s="73" t="str">
        <f ca="1">IF($N88="Sale",-$AL$40,IF(ROWS($P$8:$P88)=$AL$27+2,"",IF($N88="","",$AL$4)))</f>
        <v/>
      </c>
      <c r="AE88" s="7">
        <v>84</v>
      </c>
      <c r="AF88" s="14" t="str">
        <f t="shared" si="18"/>
        <v/>
      </c>
      <c r="AH88" s="11" t="str">
        <f>IF(($AL$7-ROWS($AH$5:AH88)+1)&gt;=0,$AL$7-ROWS($AH$5:AH88)+1,"")</f>
        <v/>
      </c>
      <c r="AI88" s="24" t="str">
        <f t="shared" si="17"/>
        <v/>
      </c>
    </row>
    <row r="89" spans="7:35" x14ac:dyDescent="0.2">
      <c r="G89" s="11" t="str">
        <f>IF(ROWS($G$7:G89)&gt;$AL$7,"",ROWS($G$7:G89))</f>
        <v/>
      </c>
      <c r="H89" s="14" t="str">
        <f t="shared" si="19"/>
        <v/>
      </c>
      <c r="I89" s="19" t="str">
        <f t="shared" si="20"/>
        <v/>
      </c>
      <c r="N89" s="68" t="str">
        <f ca="1">IF(ROWS($N$8:$N89)&gt;$AL$27+2,"",IF(ROWS($N$8:$N89)=$AL$27+2,ROWS($N$8:$N89)-1,IF(ROWS($N$8:$N89)&lt;=$AL$27,ROWS($N$8:$N89),"Sale")))</f>
        <v/>
      </c>
      <c r="O89" s="33" t="str">
        <f t="shared" ca="1" si="21"/>
        <v/>
      </c>
      <c r="P89" s="73" t="str">
        <f ca="1">IF($N89="Sale",-$AL$40,IF(ROWS($P$8:$P89)=$AL$27+2,"",IF($N89="","",$AL$4)))</f>
        <v/>
      </c>
      <c r="AE89" s="7">
        <v>85</v>
      </c>
      <c r="AF89" s="14" t="str">
        <f t="shared" si="18"/>
        <v/>
      </c>
      <c r="AH89" s="11" t="str">
        <f>IF(($AL$7-ROWS($AH$5:AH89)+1)&gt;=0,$AL$7-ROWS($AH$5:AH89)+1,"")</f>
        <v/>
      </c>
      <c r="AI89" s="24" t="str">
        <f t="shared" si="17"/>
        <v/>
      </c>
    </row>
    <row r="90" spans="7:35" x14ac:dyDescent="0.2">
      <c r="G90" s="11" t="str">
        <f>IF(ROWS($G$7:G90)&gt;$AL$7,"",ROWS($G$7:G90))</f>
        <v/>
      </c>
      <c r="H90" s="14" t="str">
        <f t="shared" si="19"/>
        <v/>
      </c>
      <c r="I90" s="19" t="str">
        <f t="shared" si="20"/>
        <v/>
      </c>
      <c r="N90" s="68" t="str">
        <f ca="1">IF(ROWS($N$8:$N90)&gt;$AL$27+2,"",IF(ROWS($N$8:$N90)=$AL$27+2,ROWS($N$8:$N90)-1,IF(ROWS($N$8:$N90)&lt;=$AL$27,ROWS($N$8:$N90),"Sale")))</f>
        <v/>
      </c>
      <c r="O90" s="33" t="str">
        <f t="shared" ca="1" si="21"/>
        <v/>
      </c>
      <c r="P90" s="73" t="str">
        <f ca="1">IF($N90="Sale",-$AL$40,IF(ROWS($P$8:$P90)=$AL$27+2,"",IF($N90="","",$AL$4)))</f>
        <v/>
      </c>
      <c r="AE90" s="7">
        <v>86</v>
      </c>
      <c r="AF90" s="14" t="str">
        <f t="shared" si="18"/>
        <v/>
      </c>
      <c r="AH90" s="11" t="str">
        <f>IF(($AL$7-ROWS($AH$5:AH90)+1)&gt;=0,$AL$7-ROWS($AH$5:AH90)+1,"")</f>
        <v/>
      </c>
      <c r="AI90" s="24" t="str">
        <f t="shared" si="17"/>
        <v/>
      </c>
    </row>
    <row r="91" spans="7:35" x14ac:dyDescent="0.2">
      <c r="G91" s="11" t="str">
        <f>IF(ROWS($G$7:G91)&gt;$AL$7,"",ROWS($G$7:G91))</f>
        <v/>
      </c>
      <c r="H91" s="14" t="str">
        <f t="shared" si="19"/>
        <v/>
      </c>
      <c r="I91" s="19" t="str">
        <f t="shared" si="20"/>
        <v/>
      </c>
      <c r="N91" s="68" t="str">
        <f ca="1">IF(ROWS($N$8:$N91)&gt;$AL$27+2,"",IF(ROWS($N$8:$N91)=$AL$27+2,ROWS($N$8:$N91)-1,IF(ROWS($N$8:$N91)&lt;=$AL$27,ROWS($N$8:$N91),"Sale")))</f>
        <v/>
      </c>
      <c r="O91" s="33" t="str">
        <f t="shared" ca="1" si="21"/>
        <v/>
      </c>
      <c r="P91" s="73" t="str">
        <f ca="1">IF($N91="Sale",-$AL$40,IF(ROWS($P$8:$P91)=$AL$27+2,"",IF($N91="","",$AL$4)))</f>
        <v/>
      </c>
      <c r="AE91" s="7">
        <v>87</v>
      </c>
      <c r="AF91" s="14" t="str">
        <f t="shared" si="18"/>
        <v/>
      </c>
      <c r="AH91" s="11" t="str">
        <f>IF(($AL$7-ROWS($AH$5:AH91)+1)&gt;=0,$AL$7-ROWS($AH$5:AH91)+1,"")</f>
        <v/>
      </c>
      <c r="AI91" s="24" t="str">
        <f t="shared" si="17"/>
        <v/>
      </c>
    </row>
    <row r="92" spans="7:35" x14ac:dyDescent="0.2">
      <c r="G92" s="11" t="str">
        <f>IF(ROWS($G$7:G92)&gt;$AL$7,"",ROWS($G$7:G92))</f>
        <v/>
      </c>
      <c r="H92" s="14" t="str">
        <f t="shared" si="19"/>
        <v/>
      </c>
      <c r="I92" s="19" t="str">
        <f t="shared" si="20"/>
        <v/>
      </c>
      <c r="N92" s="68" t="str">
        <f ca="1">IF(ROWS($N$8:$N92)&gt;$AL$27+2,"",IF(ROWS($N$8:$N92)=$AL$27+2,ROWS($N$8:$N92)-1,IF(ROWS($N$8:$N92)&lt;=$AL$27,ROWS($N$8:$N92),"Sale")))</f>
        <v/>
      </c>
      <c r="O92" s="33" t="str">
        <f t="shared" ca="1" si="21"/>
        <v/>
      </c>
      <c r="P92" s="73" t="str">
        <f ca="1">IF($N92="Sale",-$AL$40,IF(ROWS($P$8:$P92)=$AL$27+2,"",IF($N92="","",$AL$4)))</f>
        <v/>
      </c>
      <c r="AE92" s="7">
        <v>88</v>
      </c>
      <c r="AF92" s="14" t="str">
        <f t="shared" si="18"/>
        <v/>
      </c>
      <c r="AH92" s="11" t="str">
        <f>IF(($AL$7-ROWS($AH$5:AH92)+1)&gt;=0,$AL$7-ROWS($AH$5:AH92)+1,"")</f>
        <v/>
      </c>
      <c r="AI92" s="24" t="str">
        <f t="shared" si="17"/>
        <v/>
      </c>
    </row>
    <row r="93" spans="7:35" x14ac:dyDescent="0.2">
      <c r="G93" s="11" t="str">
        <f>IF(ROWS($G$7:G93)&gt;$AL$7,"",ROWS($G$7:G93))</f>
        <v/>
      </c>
      <c r="H93" s="14" t="str">
        <f t="shared" si="19"/>
        <v/>
      </c>
      <c r="I93" s="19" t="str">
        <f t="shared" si="20"/>
        <v/>
      </c>
      <c r="N93" s="68" t="str">
        <f ca="1">IF(ROWS($N$8:$N93)&gt;$AL$27+2,"",IF(ROWS($N$8:$N93)=$AL$27+2,ROWS($N$8:$N93)-1,IF(ROWS($N$8:$N93)&lt;=$AL$27,ROWS($N$8:$N93),"Sale")))</f>
        <v/>
      </c>
      <c r="O93" s="33" t="str">
        <f t="shared" ca="1" si="21"/>
        <v/>
      </c>
      <c r="P93" s="73" t="str">
        <f ca="1">IF($N93="Sale",-$AL$40,IF(ROWS($P$8:$P93)=$AL$27+2,"",IF($N93="","",$AL$4)))</f>
        <v/>
      </c>
      <c r="AE93" s="7">
        <v>89</v>
      </c>
      <c r="AF93" s="14" t="str">
        <f t="shared" si="18"/>
        <v/>
      </c>
      <c r="AH93" s="11" t="str">
        <f>IF(($AL$7-ROWS($AH$5:AH93)+1)&gt;=0,$AL$7-ROWS($AH$5:AH93)+1,"")</f>
        <v/>
      </c>
      <c r="AI93" s="24" t="str">
        <f t="shared" si="17"/>
        <v/>
      </c>
    </row>
    <row r="94" spans="7:35" x14ac:dyDescent="0.2">
      <c r="G94" s="11" t="str">
        <f>IF(ROWS($G$7:G94)&gt;$AL$7,"",ROWS($G$7:G94))</f>
        <v/>
      </c>
      <c r="H94" s="14" t="str">
        <f t="shared" si="19"/>
        <v/>
      </c>
      <c r="I94" s="19" t="str">
        <f t="shared" si="20"/>
        <v/>
      </c>
      <c r="N94" s="68" t="str">
        <f ca="1">IF(ROWS($N$8:$N94)&gt;$AL$27+2,"",IF(ROWS($N$8:$N94)=$AL$27+2,ROWS($N$8:$N94)-1,IF(ROWS($N$8:$N94)&lt;=$AL$27,ROWS($N$8:$N94),"Sale")))</f>
        <v/>
      </c>
      <c r="O94" s="33" t="str">
        <f t="shared" ca="1" si="21"/>
        <v/>
      </c>
      <c r="P94" s="73" t="str">
        <f ca="1">IF($N94="Sale",-$AL$40,IF(ROWS($P$8:$P94)=$AL$27+2,"",IF($N94="","",$AL$4)))</f>
        <v/>
      </c>
      <c r="AE94" s="7">
        <v>90</v>
      </c>
      <c r="AF94" s="14" t="str">
        <f t="shared" si="18"/>
        <v/>
      </c>
      <c r="AH94" s="11" t="str">
        <f>IF(($AL$7-ROWS($AH$5:AH94)+1)&gt;=0,$AL$7-ROWS($AH$5:AH94)+1,"")</f>
        <v/>
      </c>
      <c r="AI94" s="24" t="str">
        <f t="shared" si="17"/>
        <v/>
      </c>
    </row>
    <row r="95" spans="7:35" x14ac:dyDescent="0.2">
      <c r="G95" s="11" t="str">
        <f>IF(ROWS($G$7:G95)&gt;$AL$7,"",ROWS($G$7:G95))</f>
        <v/>
      </c>
      <c r="H95" s="14" t="str">
        <f t="shared" si="19"/>
        <v/>
      </c>
      <c r="I95" s="19" t="str">
        <f t="shared" si="20"/>
        <v/>
      </c>
      <c r="N95" s="68" t="str">
        <f ca="1">IF(ROWS($N$8:$N95)&gt;$AL$27+2,"",IF(ROWS($N$8:$N95)=$AL$27+2,ROWS($N$8:$N95)-1,IF(ROWS($N$8:$N95)&lt;=$AL$27,ROWS($N$8:$N95),"Sale")))</f>
        <v/>
      </c>
      <c r="O95" s="33" t="str">
        <f t="shared" ca="1" si="21"/>
        <v/>
      </c>
      <c r="P95" s="73" t="str">
        <f ca="1">IF($N95="Sale",-$AL$40,IF(ROWS($P$8:$P95)=$AL$27+2,"",IF($N95="","",$AL$4)))</f>
        <v/>
      </c>
      <c r="AE95" s="7">
        <v>91</v>
      </c>
      <c r="AF95" s="14" t="str">
        <f t="shared" si="18"/>
        <v/>
      </c>
      <c r="AH95" s="11" t="str">
        <f>IF(($AL$7-ROWS($AH$5:AH95)+1)&gt;=0,$AL$7-ROWS($AH$5:AH95)+1,"")</f>
        <v/>
      </c>
      <c r="AI95" s="24" t="str">
        <f t="shared" si="17"/>
        <v/>
      </c>
    </row>
    <row r="96" spans="7:35" x14ac:dyDescent="0.2">
      <c r="G96" s="11" t="str">
        <f>IF(ROWS($G$7:G96)&gt;$AL$7,"",ROWS($G$7:G96))</f>
        <v/>
      </c>
      <c r="H96" s="14" t="str">
        <f t="shared" si="19"/>
        <v/>
      </c>
      <c r="I96" s="19" t="str">
        <f t="shared" si="20"/>
        <v/>
      </c>
      <c r="N96" s="68" t="str">
        <f ca="1">IF(ROWS($N$8:$N96)&gt;$AL$27+2,"",IF(ROWS($N$8:$N96)=$AL$27+2,ROWS($N$8:$N96)-1,IF(ROWS($N$8:$N96)&lt;=$AL$27,ROWS($N$8:$N96),"Sale")))</f>
        <v/>
      </c>
      <c r="O96" s="33" t="str">
        <f t="shared" ca="1" si="21"/>
        <v/>
      </c>
      <c r="P96" s="73" t="str">
        <f ca="1">IF($N96="Sale",-$AL$40,IF(ROWS($P$8:$P96)=$AL$27+2,"",IF($N96="","",$AL$4)))</f>
        <v/>
      </c>
      <c r="AE96" s="7">
        <v>92</v>
      </c>
      <c r="AF96" s="14" t="str">
        <f t="shared" si="18"/>
        <v/>
      </c>
      <c r="AH96" s="11" t="str">
        <f>IF(($AL$7-ROWS($AH$5:AH96)+1)&gt;=0,$AL$7-ROWS($AH$5:AH96)+1,"")</f>
        <v/>
      </c>
      <c r="AI96" s="24" t="str">
        <f t="shared" si="17"/>
        <v/>
      </c>
    </row>
    <row r="97" spans="5:67" x14ac:dyDescent="0.2">
      <c r="G97" s="11" t="str">
        <f>IF(ROWS($G$7:G97)&gt;$AL$7,"",ROWS($G$7:G97))</f>
        <v/>
      </c>
      <c r="H97" s="14" t="str">
        <f t="shared" si="19"/>
        <v/>
      </c>
      <c r="I97" s="19" t="str">
        <f t="shared" si="20"/>
        <v/>
      </c>
      <c r="N97" s="68" t="str">
        <f ca="1">IF(ROWS($N$8:$N97)&gt;$AL$27+2,"",IF(ROWS($N$8:$N97)=$AL$27+2,ROWS($N$8:$N97)-1,IF(ROWS($N$8:$N97)&lt;=$AL$27,ROWS($N$8:$N97),"Sale")))</f>
        <v/>
      </c>
      <c r="O97" s="33" t="str">
        <f t="shared" ca="1" si="21"/>
        <v/>
      </c>
      <c r="P97" s="73" t="str">
        <f ca="1">IF($N97="Sale",-$AL$40,IF(ROWS($P$8:$P97)=$AL$27+2,"",IF($N97="","",$AL$4)))</f>
        <v/>
      </c>
      <c r="AE97" s="7">
        <v>93</v>
      </c>
      <c r="AF97" s="14" t="str">
        <f t="shared" si="18"/>
        <v/>
      </c>
      <c r="AH97" s="11" t="str">
        <f>IF(($AL$7-ROWS($AH$5:AH97)+1)&gt;=0,$AL$7-ROWS($AH$5:AH97)+1,"")</f>
        <v/>
      </c>
      <c r="AI97" s="24" t="str">
        <f t="shared" si="17"/>
        <v/>
      </c>
    </row>
    <row r="98" spans="5:67" x14ac:dyDescent="0.2">
      <c r="G98" s="11" t="str">
        <f>IF(ROWS($G$7:G98)&gt;$AL$7,"",ROWS($G$7:G98))</f>
        <v/>
      </c>
      <c r="H98" s="14" t="str">
        <f t="shared" si="19"/>
        <v/>
      </c>
      <c r="I98" s="19" t="str">
        <f t="shared" si="20"/>
        <v/>
      </c>
      <c r="N98" s="68" t="str">
        <f ca="1">IF(ROWS($N$8:$N98)&gt;$AL$27+2,"",IF(ROWS($N$8:$N98)=$AL$27+2,ROWS($N$8:$N98)-1,IF(ROWS($N$8:$N98)&lt;=$AL$27,ROWS($N$8:$N98),"Sale")))</f>
        <v/>
      </c>
      <c r="O98" s="33" t="str">
        <f t="shared" ca="1" si="21"/>
        <v/>
      </c>
      <c r="P98" s="73" t="str">
        <f ca="1">IF($N98="Sale",-$AL$40,IF(ROWS($P$8:$P98)=$AL$27+2,"",IF($N98="","",$AL$4)))</f>
        <v/>
      </c>
      <c r="AE98" s="7">
        <v>94</v>
      </c>
      <c r="AF98" s="14" t="str">
        <f t="shared" si="18"/>
        <v/>
      </c>
      <c r="AH98" s="11" t="str">
        <f>IF(($AL$7-ROWS($AH$5:AH98)+1)&gt;=0,$AL$7-ROWS($AH$5:AH98)+1,"")</f>
        <v/>
      </c>
      <c r="AI98" s="24" t="str">
        <f t="shared" si="17"/>
        <v/>
      </c>
    </row>
    <row r="99" spans="5:67" x14ac:dyDescent="0.2">
      <c r="G99" s="11" t="str">
        <f>IF(ROWS($G$7:G99)&gt;$AL$7,"",ROWS($G$7:G99))</f>
        <v/>
      </c>
      <c r="H99" s="14" t="str">
        <f t="shared" si="19"/>
        <v/>
      </c>
      <c r="I99" s="19" t="str">
        <f t="shared" si="20"/>
        <v/>
      </c>
      <c r="N99" s="68" t="str">
        <f ca="1">IF(ROWS($N$8:$N99)&gt;$AL$27+2,"",IF(ROWS($N$8:$N99)=$AL$27+2,ROWS($N$8:$N99)-1,IF(ROWS($N$8:$N99)&lt;=$AL$27,ROWS($N$8:$N99),"Sale")))</f>
        <v/>
      </c>
      <c r="O99" s="33" t="str">
        <f t="shared" ca="1" si="21"/>
        <v/>
      </c>
      <c r="P99" s="73" t="str">
        <f ca="1">IF($N99="Sale",-$AL$40,IF(ROWS($P$8:$P99)=$AL$27+2,"",IF($N99="","",$AL$4)))</f>
        <v/>
      </c>
      <c r="AE99" s="7">
        <v>95</v>
      </c>
      <c r="AF99" s="14" t="str">
        <f t="shared" si="18"/>
        <v/>
      </c>
      <c r="AH99" s="11" t="str">
        <f>IF(($AL$7-ROWS($AH$5:AH99)+1)&gt;=0,$AL$7-ROWS($AH$5:AH99)+1,"")</f>
        <v/>
      </c>
      <c r="AI99" s="24" t="str">
        <f t="shared" si="17"/>
        <v/>
      </c>
    </row>
    <row r="100" spans="5:67" x14ac:dyDescent="0.2">
      <c r="G100" s="11" t="str">
        <f>IF(ROWS($G$7:G100)&gt;$AL$7,"",ROWS($G$7:G100))</f>
        <v/>
      </c>
      <c r="H100" s="14" t="str">
        <f t="shared" si="19"/>
        <v/>
      </c>
      <c r="I100" s="19" t="str">
        <f t="shared" si="20"/>
        <v/>
      </c>
      <c r="N100" s="68" t="str">
        <f ca="1">IF(ROWS($N$8:$N100)&gt;$AL$27+2,"",IF(ROWS($N$8:$N100)=$AL$27+2,ROWS($N$8:$N100)-1,IF(ROWS($N$8:$N100)&lt;=$AL$27,ROWS($N$8:$N100),"Sale")))</f>
        <v/>
      </c>
      <c r="O100" s="33" t="str">
        <f t="shared" ca="1" si="21"/>
        <v/>
      </c>
      <c r="P100" s="73" t="str">
        <f ca="1">IF($N100="Sale",-$AL$40,IF(ROWS($P$8:$P100)=$AL$27+2,"",IF($N100="","",$AL$4)))</f>
        <v/>
      </c>
      <c r="AE100" s="7">
        <v>96</v>
      </c>
      <c r="AF100" s="14" t="str">
        <f t="shared" si="18"/>
        <v/>
      </c>
      <c r="AH100" s="11" t="str">
        <f>IF(($AL$7-ROWS($AH$5:AH100)+1)&gt;=0,$AL$7-ROWS($AH$5:AH100)+1,"")</f>
        <v/>
      </c>
      <c r="AI100" s="24" t="str">
        <f t="shared" si="17"/>
        <v/>
      </c>
    </row>
    <row r="101" spans="5:67" x14ac:dyDescent="0.2">
      <c r="G101" s="11" t="str">
        <f>IF(ROWS($G$7:G101)&gt;$AL$7,"",ROWS($G$7:G101))</f>
        <v/>
      </c>
      <c r="H101" s="14" t="str">
        <f t="shared" si="19"/>
        <v/>
      </c>
      <c r="I101" s="19" t="str">
        <f t="shared" si="20"/>
        <v/>
      </c>
      <c r="N101" s="68" t="str">
        <f ca="1">IF(ROWS($N$8:$N101)&gt;$AL$27+2,"",IF(ROWS($N$8:$N101)=$AL$27+2,ROWS($N$8:$N101)-1,IF(ROWS($N$8:$N101)&lt;=$AL$27,ROWS($N$8:$N101),"Sale")))</f>
        <v/>
      </c>
      <c r="O101" s="33" t="str">
        <f t="shared" ca="1" si="21"/>
        <v/>
      </c>
      <c r="P101" s="73" t="str">
        <f ca="1">IF($N101="Sale",-$AL$40,IF(ROWS($P$8:$P101)=$AL$27+2,"",IF($N101="","",$AL$4)))</f>
        <v/>
      </c>
      <c r="AE101" s="7">
        <v>97</v>
      </c>
      <c r="AF101" s="14" t="str">
        <f t="shared" si="18"/>
        <v/>
      </c>
      <c r="AH101" s="11" t="str">
        <f>IF(($AL$7-ROWS($AH$5:AH101)+1)&gt;=0,$AL$7-ROWS($AH$5:AH101)+1,"")</f>
        <v/>
      </c>
      <c r="AI101" s="24" t="str">
        <f t="shared" si="17"/>
        <v/>
      </c>
    </row>
    <row r="102" spans="5:67" x14ac:dyDescent="0.2">
      <c r="G102" s="11" t="str">
        <f>IF(ROWS($G$7:G102)&gt;$AL$7,"",ROWS($G$7:G102))</f>
        <v/>
      </c>
      <c r="H102" s="14" t="str">
        <f t="shared" si="19"/>
        <v/>
      </c>
      <c r="I102" s="19" t="str">
        <f t="shared" si="20"/>
        <v/>
      </c>
      <c r="N102" s="68" t="str">
        <f ca="1">IF(ROWS($N$8:$N102)&gt;$AL$27+2,"",IF(ROWS($N$8:$N102)=$AL$27+2,ROWS($N$8:$N102)-1,IF(ROWS($N$8:$N102)&lt;=$AL$27,ROWS($N$8:$N102),"Sale")))</f>
        <v/>
      </c>
      <c r="O102" s="33" t="str">
        <f t="shared" ca="1" si="21"/>
        <v/>
      </c>
      <c r="P102" s="73" t="str">
        <f ca="1">IF($N102="Sale",-$AL$40,IF(ROWS($P$8:$P102)=$AL$27+2,"",IF($N102="","",$AL$4)))</f>
        <v/>
      </c>
      <c r="AE102" s="7">
        <v>98</v>
      </c>
      <c r="AF102" s="14" t="str">
        <f t="shared" si="18"/>
        <v/>
      </c>
      <c r="AH102" s="11" t="str">
        <f>IF(($AL$7-ROWS($AH$5:AH102)+1)&gt;=0,$AL$7-ROWS($AH$5:AH102)+1,"")</f>
        <v/>
      </c>
      <c r="AI102" s="24" t="str">
        <f t="shared" si="17"/>
        <v/>
      </c>
    </row>
    <row r="103" spans="5:67" x14ac:dyDescent="0.2">
      <c r="G103" s="11" t="str">
        <f>IF(ROWS($G$7:G103)&gt;$AL$7,"",ROWS($G$7:G103))</f>
        <v/>
      </c>
      <c r="H103" s="14" t="str">
        <f t="shared" si="19"/>
        <v/>
      </c>
      <c r="I103" s="19" t="str">
        <f t="shared" si="20"/>
        <v/>
      </c>
      <c r="N103" s="68" t="str">
        <f ca="1">IF(ROWS($N$8:$N103)&gt;$AL$27+2,"",IF(ROWS($N$8:$N103)=$AL$27+2,ROWS($N$8:$N103)-1,IF(ROWS($N$8:$N103)&lt;=$AL$27,ROWS($N$8:$N103),"Sale")))</f>
        <v/>
      </c>
      <c r="O103" s="33" t="str">
        <f t="shared" ca="1" si="21"/>
        <v/>
      </c>
      <c r="P103" s="73" t="str">
        <f ca="1">IF($N103="Sale",-$AL$40,IF(ROWS($P$8:$P103)=$AL$27+2,"",IF($N103="","",$AL$4)))</f>
        <v/>
      </c>
      <c r="AE103" s="7">
        <v>99</v>
      </c>
      <c r="AF103" s="14" t="str">
        <f t="shared" si="18"/>
        <v/>
      </c>
      <c r="AH103" s="11" t="str">
        <f>IF(($AL$7-ROWS($AH$5:AH103)+1)&gt;=0,$AL$7-ROWS($AH$5:AH103)+1,"")</f>
        <v/>
      </c>
      <c r="AI103" s="24" t="str">
        <f t="shared" si="17"/>
        <v/>
      </c>
    </row>
    <row r="104" spans="5:67" x14ac:dyDescent="0.2">
      <c r="G104" s="11" t="str">
        <f>IF(ROWS($G$7:G104)&gt;$AL$7,"",ROWS($G$7:G104))</f>
        <v/>
      </c>
      <c r="H104" s="14" t="str">
        <f t="shared" si="19"/>
        <v/>
      </c>
      <c r="I104" s="19" t="str">
        <f t="shared" si="20"/>
        <v/>
      </c>
      <c r="N104" s="68" t="str">
        <f ca="1">IF(ROWS($N$8:$N104)&gt;$AL$27+2,"",IF(ROWS($N$8:$N104)=$AL$27+2,ROWS($N$8:$N104)-1,IF(ROWS($N$8:$N104)&lt;=$AL$27,ROWS($N$8:$N104),"Sale")))</f>
        <v/>
      </c>
      <c r="O104" s="33" t="str">
        <f t="shared" ca="1" si="21"/>
        <v/>
      </c>
      <c r="P104" s="73" t="str">
        <f ca="1">IF($N104="Sale",-$AL$40,IF(ROWS($P$8:$P104)=$AL$27+2,"",IF($N104="","",$AL$4)))</f>
        <v/>
      </c>
      <c r="AE104" s="7">
        <v>100</v>
      </c>
      <c r="AF104" s="14" t="str">
        <f t="shared" si="18"/>
        <v/>
      </c>
      <c r="AH104" s="11" t="str">
        <f>IF(($AL$7-ROWS($AH$5:AH104)+1)&gt;=0,$AL$7-ROWS($AH$5:AH104)+1,"")</f>
        <v/>
      </c>
      <c r="AI104" s="24" t="str">
        <f t="shared" si="17"/>
        <v/>
      </c>
    </row>
    <row r="105" spans="5:67" x14ac:dyDescent="0.2">
      <c r="G105" s="11" t="str">
        <f>IF(ROWS($G$7:G105)&gt;$AL$7,"",ROWS($G$7:G105))</f>
        <v/>
      </c>
      <c r="H105" s="14" t="str">
        <f t="shared" si="19"/>
        <v/>
      </c>
      <c r="I105" s="19" t="str">
        <f t="shared" si="20"/>
        <v/>
      </c>
      <c r="N105" s="68" t="str">
        <f ca="1">IF(ROWS($N$8:$N105)&gt;$AL$27+2,"",IF(ROWS($N$8:$N105)=$AL$27+2,ROWS($N$8:$N105)-1,IF(ROWS($N$8:$N105)&lt;=$AL$27,ROWS($N$8:$N105),"Sale")))</f>
        <v/>
      </c>
      <c r="O105" s="33" t="str">
        <f t="shared" ca="1" si="21"/>
        <v/>
      </c>
      <c r="P105" s="73" t="str">
        <f ca="1">IF($N105="Sale",-$AL$40,IF(ROWS($P$8:$P105)=$AL$27+2,"",IF($N105="","",$AL$4)))</f>
        <v/>
      </c>
      <c r="AF105" s="13"/>
    </row>
    <row r="106" spans="5:67" x14ac:dyDescent="0.2">
      <c r="G106" s="11" t="str">
        <f ca="1">IF($G106&lt;=$AL$7,ROWS($G$7:G106),"")</f>
        <v/>
      </c>
      <c r="H106" s="14" t="str">
        <f t="shared" ca="1" si="19"/>
        <v/>
      </c>
      <c r="I106" s="19" t="str">
        <f t="shared" ca="1" si="20"/>
        <v/>
      </c>
      <c r="N106" s="68" t="str">
        <f ca="1">IF(ROWS($N$8:$N106)&gt;$AL$27+2,"",IF(ROWS($N$8:$N106)=$AL$27+2,ROWS($N$8:$N106)-1,IF(ROWS($N$8:$N106)&lt;=$AL$27,ROWS($N$8:$N106),"Sale")))</f>
        <v/>
      </c>
      <c r="O106" s="33" t="str">
        <f t="shared" ca="1" si="21"/>
        <v/>
      </c>
      <c r="P106" s="73" t="str">
        <f ca="1">IF($N106="Sale",-$AL$40,IF(ROWS($P$8:$P106)=$AL$27+2,"",IF($N106="","",$AL$4)))</f>
        <v/>
      </c>
    </row>
    <row r="107" spans="5:67" x14ac:dyDescent="0.2">
      <c r="N107" s="68" t="str">
        <f ca="1">IF(ROWS($N$8:$N107)&gt;$AL$27+2,"",IF(ROWS($N$8:$N107)=$AL$27+2,ROWS($N$8:$N107)-1,IF(ROWS($N$8:$N107)&lt;=$AL$27,ROWS($N$8:$N107),"Sale")))</f>
        <v/>
      </c>
      <c r="O107" s="33" t="str">
        <f t="shared" ca="1" si="21"/>
        <v/>
      </c>
      <c r="P107" s="73" t="str">
        <f ca="1">IF($N107="Sale",-$AL$40,IF(ROWS($P$8:$P107)=$AL$27+2,"",IF($N107="","",$AL$4)))</f>
        <v/>
      </c>
    </row>
    <row r="108" spans="5:67" x14ac:dyDescent="0.2">
      <c r="N108" s="68" t="str">
        <f ca="1">IF(ROWS($N$8:$N108)&gt;$AL$27+2,"",IF(ROWS($N$8:$N108)=$AL$27+2,ROWS($N$8:$N108)-1,IF(ROWS($N$8:$N108)&lt;=$AL$27,ROWS($N$8:$N108),"Sale")))</f>
        <v/>
      </c>
      <c r="O108" s="33" t="str">
        <f t="shared" ca="1" si="21"/>
        <v/>
      </c>
      <c r="P108" s="73" t="str">
        <f ca="1">IF($N108="Sale",-$AL$40,IF(ROWS($P$8:$P108)=$AL$27+2,"",IF($N108="","",$AL$4)))</f>
        <v/>
      </c>
    </row>
    <row r="109" spans="5:67" s="70" customFormat="1" x14ac:dyDescent="0.2">
      <c r="E109" s="69"/>
      <c r="O109" s="71"/>
    </row>
    <row r="110" spans="5:67" ht="16" thickBot="1" x14ac:dyDescent="0.25">
      <c r="O110" s="28"/>
    </row>
    <row r="111" spans="5:67" ht="16" thickBot="1" x14ac:dyDescent="0.25">
      <c r="BB111" s="119" t="s">
        <v>194</v>
      </c>
      <c r="BC111" s="120"/>
      <c r="BD111" s="120"/>
      <c r="BE111" s="120"/>
      <c r="BF111" s="120"/>
      <c r="BG111" s="120"/>
      <c r="BH111" s="120"/>
      <c r="BI111" s="120"/>
      <c r="BJ111" s="120"/>
      <c r="BK111" s="120"/>
      <c r="BL111" s="120"/>
      <c r="BM111" s="120"/>
      <c r="BN111" s="120"/>
      <c r="BO111" s="121"/>
    </row>
    <row r="112" spans="5:67" x14ac:dyDescent="0.2">
      <c r="BB112" s="75"/>
      <c r="BC112" s="31"/>
      <c r="BD112" s="31"/>
      <c r="BE112" s="31"/>
      <c r="BF112" s="31"/>
      <c r="BG112" s="31"/>
      <c r="BH112" s="31"/>
      <c r="BI112" s="31"/>
      <c r="BJ112" s="31"/>
      <c r="BK112" s="31"/>
      <c r="BL112" s="31"/>
      <c r="BM112" s="31"/>
      <c r="BN112" s="31"/>
      <c r="BO112" s="76"/>
    </row>
    <row r="113" spans="54:67" x14ac:dyDescent="0.2">
      <c r="BB113" s="75"/>
      <c r="BC113" s="31"/>
      <c r="BD113" s="31"/>
      <c r="BE113" s="31"/>
      <c r="BF113" s="31"/>
      <c r="BG113" s="31"/>
      <c r="BH113" s="31"/>
      <c r="BI113" s="31"/>
      <c r="BJ113" s="31"/>
      <c r="BK113" s="31"/>
      <c r="BL113" s="31"/>
      <c r="BM113" s="31"/>
      <c r="BN113" s="31"/>
      <c r="BO113" s="76"/>
    </row>
    <row r="114" spans="54:67" x14ac:dyDescent="0.2">
      <c r="BB114" s="75"/>
      <c r="BC114" s="31"/>
      <c r="BD114" s="31"/>
      <c r="BE114" s="31"/>
      <c r="BF114" s="31"/>
      <c r="BG114" s="31"/>
      <c r="BH114" s="31"/>
      <c r="BI114" s="31"/>
      <c r="BJ114" s="31"/>
      <c r="BK114" s="31"/>
      <c r="BL114" s="31"/>
      <c r="BM114" s="31"/>
      <c r="BN114" s="31"/>
      <c r="BO114" s="76"/>
    </row>
    <row r="115" spans="54:67" x14ac:dyDescent="0.2">
      <c r="BB115" s="75"/>
      <c r="BC115" s="31"/>
      <c r="BD115" s="31"/>
      <c r="BE115" s="31"/>
      <c r="BF115" s="31"/>
      <c r="BG115" s="31"/>
      <c r="BH115" s="31"/>
      <c r="BI115" s="31"/>
      <c r="BJ115" s="31"/>
      <c r="BK115" s="31"/>
      <c r="BL115" s="31"/>
      <c r="BM115" s="31"/>
      <c r="BN115" s="31"/>
      <c r="BO115" s="76"/>
    </row>
    <row r="116" spans="54:67" x14ac:dyDescent="0.2">
      <c r="BB116" s="75"/>
      <c r="BC116" s="31"/>
      <c r="BD116" s="31"/>
      <c r="BE116" s="31"/>
      <c r="BF116" s="31"/>
      <c r="BG116" s="31"/>
      <c r="BH116" s="31"/>
      <c r="BI116" s="31"/>
      <c r="BJ116" s="31"/>
      <c r="BK116" s="31"/>
      <c r="BL116" s="31"/>
      <c r="BM116" s="31"/>
      <c r="BN116" s="31"/>
      <c r="BO116" s="76"/>
    </row>
    <row r="117" spans="54:67" x14ac:dyDescent="0.2">
      <c r="BB117" s="75"/>
      <c r="BC117" s="31"/>
      <c r="BD117" s="31"/>
      <c r="BE117" s="31"/>
      <c r="BF117" s="31"/>
      <c r="BG117" s="31"/>
      <c r="BH117" s="31"/>
      <c r="BI117" s="31"/>
      <c r="BJ117" s="31"/>
      <c r="BK117" s="31"/>
      <c r="BL117" s="31"/>
      <c r="BM117" s="31"/>
      <c r="BN117" s="31"/>
      <c r="BO117" s="76"/>
    </row>
    <row r="118" spans="54:67" x14ac:dyDescent="0.2">
      <c r="BB118" s="75"/>
      <c r="BC118" s="31"/>
      <c r="BD118" s="31"/>
      <c r="BE118" s="31"/>
      <c r="BF118" s="31"/>
      <c r="BG118" s="31"/>
      <c r="BH118" s="31"/>
      <c r="BI118" s="31"/>
      <c r="BJ118" s="31"/>
      <c r="BK118" s="31"/>
      <c r="BL118" s="31"/>
      <c r="BM118" s="31"/>
      <c r="BN118" s="31"/>
      <c r="BO118" s="76"/>
    </row>
    <row r="119" spans="54:67" x14ac:dyDescent="0.2">
      <c r="BB119" s="75"/>
      <c r="BC119" s="31"/>
      <c r="BD119" s="31"/>
      <c r="BE119" s="31"/>
      <c r="BF119" s="31"/>
      <c r="BG119" s="31"/>
      <c r="BH119" s="31"/>
      <c r="BI119" s="31"/>
      <c r="BJ119" s="31"/>
      <c r="BK119" s="31"/>
      <c r="BL119" s="31"/>
      <c r="BM119" s="31"/>
      <c r="BN119" s="31"/>
      <c r="BO119" s="76"/>
    </row>
    <row r="120" spans="54:67" x14ac:dyDescent="0.2">
      <c r="BB120" s="75"/>
      <c r="BC120" s="31"/>
      <c r="BD120" s="31"/>
      <c r="BE120" s="31"/>
      <c r="BF120" s="31"/>
      <c r="BG120" s="31"/>
      <c r="BH120" s="31"/>
      <c r="BI120" s="31"/>
      <c r="BJ120" s="31"/>
      <c r="BK120" s="31"/>
      <c r="BL120" s="31"/>
      <c r="BM120" s="31"/>
      <c r="BN120" s="31"/>
      <c r="BO120" s="76"/>
    </row>
    <row r="121" spans="54:67" x14ac:dyDescent="0.2">
      <c r="BB121" s="75"/>
      <c r="BC121" s="31"/>
      <c r="BD121" s="31"/>
      <c r="BE121" s="31"/>
      <c r="BF121" s="31"/>
      <c r="BG121" s="31"/>
      <c r="BH121" s="31"/>
      <c r="BI121" s="31"/>
      <c r="BJ121" s="31"/>
      <c r="BK121" s="31"/>
      <c r="BL121" s="31"/>
      <c r="BM121" s="31"/>
      <c r="BN121" s="31"/>
      <c r="BO121" s="76"/>
    </row>
    <row r="122" spans="54:67" x14ac:dyDescent="0.2">
      <c r="BB122" s="75"/>
      <c r="BC122" s="31"/>
      <c r="BD122" s="31"/>
      <c r="BE122" s="31"/>
      <c r="BF122" s="31"/>
      <c r="BG122" s="31"/>
      <c r="BH122" s="31"/>
      <c r="BI122" s="31"/>
      <c r="BJ122" s="31"/>
      <c r="BK122" s="31"/>
      <c r="BL122" s="31"/>
      <c r="BM122" s="31"/>
      <c r="BN122" s="31"/>
      <c r="BO122" s="76"/>
    </row>
    <row r="123" spans="54:67" x14ac:dyDescent="0.2">
      <c r="BB123" s="75"/>
      <c r="BC123" s="31"/>
      <c r="BD123" s="31"/>
      <c r="BE123" s="31"/>
      <c r="BF123" s="31"/>
      <c r="BG123" s="31"/>
      <c r="BH123" s="31"/>
      <c r="BI123" s="31"/>
      <c r="BJ123" s="31"/>
      <c r="BK123" s="31"/>
      <c r="BL123" s="31"/>
      <c r="BM123" s="31"/>
      <c r="BN123" s="31"/>
      <c r="BO123" s="76"/>
    </row>
    <row r="124" spans="54:67" x14ac:dyDescent="0.2">
      <c r="BB124" s="75"/>
      <c r="BC124" s="31"/>
      <c r="BD124" s="31"/>
      <c r="BE124" s="31"/>
      <c r="BF124" s="31"/>
      <c r="BG124" s="31"/>
      <c r="BH124" s="31"/>
      <c r="BI124" s="31"/>
      <c r="BJ124" s="31"/>
      <c r="BK124" s="31"/>
      <c r="BL124" s="31"/>
      <c r="BM124" s="31"/>
      <c r="BN124" s="31"/>
      <c r="BO124" s="76"/>
    </row>
    <row r="125" spans="54:67" x14ac:dyDescent="0.2">
      <c r="BB125" s="75"/>
      <c r="BC125" s="31"/>
      <c r="BD125" s="31"/>
      <c r="BE125" s="31"/>
      <c r="BF125" s="31"/>
      <c r="BG125" s="31"/>
      <c r="BH125" s="31"/>
      <c r="BI125" s="31"/>
      <c r="BJ125" s="31"/>
      <c r="BK125" s="31"/>
      <c r="BL125" s="31"/>
      <c r="BM125" s="31"/>
      <c r="BN125" s="31"/>
      <c r="BO125" s="76"/>
    </row>
    <row r="126" spans="54:67" x14ac:dyDescent="0.2">
      <c r="BB126" s="75"/>
      <c r="BC126" s="31"/>
      <c r="BD126" s="31"/>
      <c r="BE126" s="31"/>
      <c r="BF126" s="31"/>
      <c r="BG126" s="31"/>
      <c r="BH126" s="31"/>
      <c r="BI126" s="31"/>
      <c r="BJ126" s="31"/>
      <c r="BK126" s="31"/>
      <c r="BL126" s="31"/>
      <c r="BM126" s="31"/>
      <c r="BN126" s="31"/>
      <c r="BO126" s="76"/>
    </row>
    <row r="127" spans="54:67" x14ac:dyDescent="0.2">
      <c r="BB127" s="75"/>
      <c r="BC127" s="31"/>
      <c r="BD127" s="31"/>
      <c r="BE127" s="31"/>
      <c r="BF127" s="31"/>
      <c r="BG127" s="31"/>
      <c r="BH127" s="31"/>
      <c r="BI127" s="31"/>
      <c r="BJ127" s="31"/>
      <c r="BK127" s="31"/>
      <c r="BL127" s="31"/>
      <c r="BM127" s="31"/>
      <c r="BN127" s="31"/>
      <c r="BO127" s="76"/>
    </row>
    <row r="128" spans="54:67" x14ac:dyDescent="0.2">
      <c r="BB128" s="75"/>
      <c r="BC128" s="31"/>
      <c r="BD128" s="31"/>
      <c r="BE128" s="31"/>
      <c r="BF128" s="31"/>
      <c r="BG128" s="31"/>
      <c r="BH128" s="31"/>
      <c r="BI128" s="31"/>
      <c r="BJ128" s="31"/>
      <c r="BK128" s="31"/>
      <c r="BL128" s="31"/>
      <c r="BM128" s="31"/>
      <c r="BN128" s="31"/>
      <c r="BO128" s="76"/>
    </row>
    <row r="129" spans="54:67" x14ac:dyDescent="0.2">
      <c r="BB129" s="75"/>
      <c r="BC129" s="31"/>
      <c r="BD129" s="31"/>
      <c r="BE129" s="31"/>
      <c r="BF129" s="31"/>
      <c r="BG129" s="31"/>
      <c r="BH129" s="31"/>
      <c r="BI129" s="31"/>
      <c r="BJ129" s="31"/>
      <c r="BK129" s="31"/>
      <c r="BL129" s="31"/>
      <c r="BM129" s="31"/>
      <c r="BN129" s="31"/>
      <c r="BO129" s="76"/>
    </row>
    <row r="130" spans="54:67" ht="16" thickBot="1" x14ac:dyDescent="0.25">
      <c r="BB130" s="77"/>
      <c r="BC130" s="78"/>
      <c r="BD130" s="78"/>
      <c r="BE130" s="78"/>
      <c r="BF130" s="78"/>
      <c r="BG130" s="78"/>
      <c r="BH130" s="78"/>
      <c r="BI130" s="78"/>
      <c r="BJ130" s="78"/>
      <c r="BK130" s="78"/>
      <c r="BL130" s="78"/>
      <c r="BM130" s="78"/>
      <c r="BN130" s="78"/>
      <c r="BO130" s="79"/>
    </row>
  </sheetData>
  <mergeCells count="62">
    <mergeCell ref="BB111:BO111"/>
    <mergeCell ref="A1:B2"/>
    <mergeCell ref="A4:B4"/>
    <mergeCell ref="A16:B16"/>
    <mergeCell ref="A22:B22"/>
    <mergeCell ref="A25:B25"/>
    <mergeCell ref="G4:I4"/>
    <mergeCell ref="AA25:AA26"/>
    <mergeCell ref="K4:L4"/>
    <mergeCell ref="K5:L5"/>
    <mergeCell ref="A36:B36"/>
    <mergeCell ref="N4:P4"/>
    <mergeCell ref="AA19:AA20"/>
    <mergeCell ref="A35:E35"/>
    <mergeCell ref="AA32:AB33"/>
    <mergeCell ref="AK29:AL29"/>
    <mergeCell ref="AK47:AL47"/>
    <mergeCell ref="AK52:AL52"/>
    <mergeCell ref="D28:E28"/>
    <mergeCell ref="D4:E4"/>
    <mergeCell ref="D19:E19"/>
    <mergeCell ref="D13:E13"/>
    <mergeCell ref="AE1:AF4"/>
    <mergeCell ref="AK26:AL26"/>
    <mergeCell ref="AH1:AI3"/>
    <mergeCell ref="AK1:AL1"/>
    <mergeCell ref="AA22:AA23"/>
    <mergeCell ref="AA1:AC1"/>
    <mergeCell ref="AA2:AA3"/>
    <mergeCell ref="AA7:AA8"/>
    <mergeCell ref="AA10:AA17"/>
    <mergeCell ref="AK6:AL6"/>
    <mergeCell ref="CR1:CS2"/>
    <mergeCell ref="CR4:CS4"/>
    <mergeCell ref="CR16:CS16"/>
    <mergeCell ref="CR22:CS22"/>
    <mergeCell ref="CO1:CP2"/>
    <mergeCell ref="CO4:CP4"/>
    <mergeCell ref="CO16:CP16"/>
    <mergeCell ref="CO22:CP22"/>
    <mergeCell ref="BH10:BJ10"/>
    <mergeCell ref="BW21:BY21"/>
    <mergeCell ref="BW22:BY22"/>
    <mergeCell ref="BW17:BY17"/>
    <mergeCell ref="BW18:BY18"/>
    <mergeCell ref="BW14:CD14"/>
    <mergeCell ref="BW15:BZ15"/>
    <mergeCell ref="AS65:AX66"/>
    <mergeCell ref="BL27:BS28"/>
    <mergeCell ref="CP39:CR40"/>
    <mergeCell ref="BW3:CC3"/>
    <mergeCell ref="CE2:CM2"/>
    <mergeCell ref="BB2:BE2"/>
    <mergeCell ref="BW16:BY16"/>
    <mergeCell ref="CR25:CS25"/>
    <mergeCell ref="CO25:CP25"/>
    <mergeCell ref="CC43:CD43"/>
    <mergeCell ref="BW25:CA25"/>
    <mergeCell ref="CC25:CG25"/>
    <mergeCell ref="BW23:BY23"/>
    <mergeCell ref="BW43:BX43"/>
    <mergeCell ref="BW20:BZ20"/>
  </mergeCells>
  <phoneticPr fontId="4" type="noConversion"/>
  <conditionalFormatting sqref="G6:I106">
    <cfRule type="expression" dxfId="25" priority="28">
      <formula>$G6=""</formula>
    </cfRule>
  </conditionalFormatting>
  <conditionalFormatting sqref="AH5:AI104">
    <cfRule type="expression" dxfId="24" priority="27">
      <formula>$AH5=""</formula>
    </cfRule>
  </conditionalFormatting>
  <conditionalFormatting sqref="B26">
    <cfRule type="expression" dxfId="23" priority="2">
      <formula>OR($B$26&lt;$B$17,$B$26&gt;$B$6)</formula>
    </cfRule>
    <cfRule type="expression" dxfId="22" priority="25">
      <formula>$G26=""</formula>
    </cfRule>
  </conditionalFormatting>
  <conditionalFormatting sqref="A20:B20">
    <cfRule type="expression" dxfId="21" priority="24">
      <formula>$B$14=$AB$19</formula>
    </cfRule>
  </conditionalFormatting>
  <conditionalFormatting sqref="B20">
    <cfRule type="expression" dxfId="20" priority="23">
      <formula>$A$20=""</formula>
    </cfRule>
  </conditionalFormatting>
  <conditionalFormatting sqref="A29:B30 A32:B32">
    <cfRule type="expression" dxfId="19" priority="22">
      <formula>$B$14=$AB$19</formula>
    </cfRule>
  </conditionalFormatting>
  <conditionalFormatting sqref="A19:B19 A27:B28">
    <cfRule type="expression" dxfId="18" priority="20">
      <formula>$B$14=$AB$20</formula>
    </cfRule>
  </conditionalFormatting>
  <conditionalFormatting sqref="B19 A27:B28">
    <cfRule type="expression" dxfId="17" priority="19">
      <formula>$A$19=""</formula>
    </cfRule>
  </conditionalFormatting>
  <conditionalFormatting sqref="CP26">
    <cfRule type="expression" dxfId="16" priority="18">
      <formula>$G26=""</formula>
    </cfRule>
  </conditionalFormatting>
  <conditionalFormatting sqref="CO20:CP20">
    <cfRule type="expression" dxfId="15" priority="17">
      <formula>$B$14=$AB$19</formula>
    </cfRule>
  </conditionalFormatting>
  <conditionalFormatting sqref="CP20">
    <cfRule type="expression" dxfId="14" priority="16">
      <formula>$A$20=""</formula>
    </cfRule>
  </conditionalFormatting>
  <conditionalFormatting sqref="CO29:CP30 CO32:CP32">
    <cfRule type="expression" dxfId="13" priority="15">
      <formula>$B$14=$AB$19</formula>
    </cfRule>
  </conditionalFormatting>
  <conditionalFormatting sqref="CP29:CP30 CP32">
    <cfRule type="expression" dxfId="12" priority="14">
      <formula>$A$29=""</formula>
    </cfRule>
  </conditionalFormatting>
  <conditionalFormatting sqref="CO19:CP19 CO27:CP28">
    <cfRule type="expression" dxfId="11" priority="13">
      <formula>$B$14=$AB$20</formula>
    </cfRule>
  </conditionalFormatting>
  <conditionalFormatting sqref="CP19 CO27:CP28">
    <cfRule type="expression" dxfId="10" priority="12">
      <formula>$A$19=""</formula>
    </cfRule>
  </conditionalFormatting>
  <conditionalFormatting sqref="CS26">
    <cfRule type="expression" dxfId="9" priority="11">
      <formula>$G26=""</formula>
    </cfRule>
  </conditionalFormatting>
  <conditionalFormatting sqref="CR20:CS20">
    <cfRule type="expression" dxfId="8" priority="10">
      <formula>$B$14=$AB$19</formula>
    </cfRule>
  </conditionalFormatting>
  <conditionalFormatting sqref="CS20">
    <cfRule type="expression" dxfId="7" priority="9">
      <formula>$A$20=""</formula>
    </cfRule>
  </conditionalFormatting>
  <conditionalFormatting sqref="CR29:CS30 CR32:CS32">
    <cfRule type="expression" dxfId="6" priority="8">
      <formula>$B$14=$AB$19</formula>
    </cfRule>
  </conditionalFormatting>
  <conditionalFormatting sqref="CS29:CS30 CS32">
    <cfRule type="expression" dxfId="5" priority="7">
      <formula>$A$29=""</formula>
    </cfRule>
  </conditionalFormatting>
  <conditionalFormatting sqref="CR19:CS19 CR27:CS28">
    <cfRule type="expression" dxfId="4" priority="6">
      <formula>$B$14=$AB$20</formula>
    </cfRule>
  </conditionalFormatting>
  <conditionalFormatting sqref="CS19 CR27:CS28">
    <cfRule type="expression" dxfId="3" priority="5">
      <formula>$A$19=""</formula>
    </cfRule>
  </conditionalFormatting>
  <conditionalFormatting sqref="N6:P108">
    <cfRule type="expression" dxfId="2" priority="3">
      <formula>$N6=""</formula>
    </cfRule>
  </conditionalFormatting>
  <conditionalFormatting sqref="B17">
    <cfRule type="expression" dxfId="1" priority="1">
      <formula>AND($B$17&gt;$B$26,$B$17&gt;$B$6)</formula>
    </cfRule>
  </conditionalFormatting>
  <dataValidations count="8">
    <dataValidation type="list" allowBlank="1" showInputMessage="1" showErrorMessage="1" sqref="B8 CP8 CS8" xr:uid="{642C684A-18C2-4BBD-8127-3957EA26326C}">
      <formula1>$AB$2:$AB$3</formula1>
    </dataValidation>
    <dataValidation type="list" allowBlank="1" showInputMessage="1" showErrorMessage="1" sqref="B9 CP9 CS9" xr:uid="{2BCC8F92-D443-4E02-A240-611EA40271B0}">
      <formula1>$AB$7:$AB$8</formula1>
    </dataValidation>
    <dataValidation type="list" allowBlank="1" showInputMessage="1" showErrorMessage="1" sqref="B10 CP10 CS10" xr:uid="{E3D7C7D8-DCC1-4B05-A901-8EAFCD22DD8D}">
      <formula1>$AB$10:$AB$17</formula1>
    </dataValidation>
    <dataValidation type="list" allowBlank="1" showInputMessage="1" showErrorMessage="1" sqref="B14 CP14 CS14" xr:uid="{FA90D826-1397-49E8-A8D4-53197BFF0980}">
      <formula1>$AB$19:$AB$20</formula1>
    </dataValidation>
    <dataValidation type="date" operator="lessThan" allowBlank="1" showInputMessage="1" showErrorMessage="1" errorTitle="Invalid Date" error="Please enter a valid date before maturity date." sqref="B17 CP17 CS17" xr:uid="{2248D206-2DF2-714D-887D-D6012045EF51}">
      <formula1>B6</formula1>
    </dataValidation>
    <dataValidation type="date" allowBlank="1" showInputMessage="1" showErrorMessage="1" errorTitle="Invalid date" error="Please enter a valid date between purchase date and maturity date." sqref="B26 CP26 CS26" xr:uid="{50EB5C42-9362-7F4E-8007-5D1F47A245D1}">
      <formula1>B17</formula1>
      <formula2>B6</formula2>
    </dataValidation>
    <dataValidation type="list" allowBlank="1" showInputMessage="1" showErrorMessage="1" sqref="B32 CP32 CS32" xr:uid="{5930714D-E3A6-478A-AF4F-A8C784E07FBA}">
      <formula1>$AB$22:$AB$23</formula1>
    </dataValidation>
    <dataValidation type="list" allowBlank="1" showInputMessage="1" showErrorMessage="1" sqref="A18 CO18 CR18" xr:uid="{F30E0770-D70F-47DA-9157-C7FEE5DC5B5B}">
      <formula1>$AB$25:$AB$26</formula1>
    </dataValidation>
  </dataValidations>
  <pageMargins left="0.7" right="0.7" top="0.75" bottom="0.75" header="0.3" footer="0.3"/>
  <pageSetup orientation="portrait" horizontalDpi="1200" verticalDpi="1200" r:id="rId1"/>
  <customProperties>
    <customPr name="DigitalSignatur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GoToUserGuide">
                <anchor moveWithCells="1" sizeWithCells="1">
                  <from>
                    <xdr:col>3</xdr:col>
                    <xdr:colOff>127000</xdr:colOff>
                    <xdr:row>40</xdr:row>
                    <xdr:rowOff>38100</xdr:rowOff>
                  </from>
                  <to>
                    <xdr:col>4</xdr:col>
                    <xdr:colOff>304800</xdr:colOff>
                    <xdr:row>42</xdr:row>
                    <xdr:rowOff>114300</xdr:rowOff>
                  </to>
                </anchor>
              </controlPr>
            </control>
          </mc:Choice>
        </mc:AlternateContent>
        <mc:AlternateContent xmlns:mc="http://schemas.openxmlformats.org/markup-compatibility/2006">
          <mc:Choice Requires="x14">
            <control shapeId="1031" r:id="rId6" name="Button 7">
              <controlPr defaultSize="0" print="0" autoFill="0" autoPict="0" macro="[0]!GoToModel">
                <anchor moveWithCells="1" sizeWithCells="1">
                  <from>
                    <xdr:col>26</xdr:col>
                    <xdr:colOff>393700</xdr:colOff>
                    <xdr:row>34</xdr:row>
                    <xdr:rowOff>50800</xdr:rowOff>
                  </from>
                  <to>
                    <xdr:col>27</xdr:col>
                    <xdr:colOff>0</xdr:colOff>
                    <xdr:row>36</xdr:row>
                    <xdr:rowOff>139700</xdr:rowOff>
                  </to>
                </anchor>
              </controlPr>
            </control>
          </mc:Choice>
        </mc:AlternateContent>
        <mc:AlternateContent xmlns:mc="http://schemas.openxmlformats.org/markup-compatibility/2006">
          <mc:Choice Requires="x14">
            <control shapeId="1032" r:id="rId7" name="Button 8">
              <controlPr defaultSize="0" print="0" autoFill="0" autoPict="0" macro="[0]!GoToModel">
                <anchor moveWithCells="1" sizeWithCells="1">
                  <from>
                    <xdr:col>45</xdr:col>
                    <xdr:colOff>342900</xdr:colOff>
                    <xdr:row>60</xdr:row>
                    <xdr:rowOff>12700</xdr:rowOff>
                  </from>
                  <to>
                    <xdr:col>48</xdr:col>
                    <xdr:colOff>114300</xdr:colOff>
                    <xdr:row>62</xdr:row>
                    <xdr:rowOff>114300</xdr:rowOff>
                  </to>
                </anchor>
              </controlPr>
            </control>
          </mc:Choice>
        </mc:AlternateContent>
        <mc:AlternateContent xmlns:mc="http://schemas.openxmlformats.org/markup-compatibility/2006">
          <mc:Choice Requires="x14">
            <control shapeId="1033" r:id="rId8" name="Button 9">
              <controlPr defaultSize="0" print="0" autoFill="0" autoPict="0" macro="[0]!GoToModel">
                <anchor moveWithCells="1" sizeWithCells="1">
                  <from>
                    <xdr:col>55</xdr:col>
                    <xdr:colOff>101600</xdr:colOff>
                    <xdr:row>12</xdr:row>
                    <xdr:rowOff>50800</xdr:rowOff>
                  </from>
                  <to>
                    <xdr:col>56</xdr:col>
                    <xdr:colOff>1155700</xdr:colOff>
                    <xdr:row>14</xdr:row>
                    <xdr:rowOff>139700</xdr:rowOff>
                  </to>
                </anchor>
              </controlPr>
            </control>
          </mc:Choice>
        </mc:AlternateContent>
        <mc:AlternateContent xmlns:mc="http://schemas.openxmlformats.org/markup-compatibility/2006">
          <mc:Choice Requires="x14">
            <control shapeId="1034" r:id="rId9" name="Button 10">
              <controlPr defaultSize="0" print="0" autoFill="0" autoPict="0" macro="[0]!GoToModel">
                <anchor moveWithCells="1" sizeWithCells="1">
                  <from>
                    <xdr:col>66</xdr:col>
                    <xdr:colOff>25400</xdr:colOff>
                    <xdr:row>22</xdr:row>
                    <xdr:rowOff>139700</xdr:rowOff>
                  </from>
                  <to>
                    <xdr:col>68</xdr:col>
                    <xdr:colOff>101600</xdr:colOff>
                    <xdr:row>25</xdr:row>
                    <xdr:rowOff>38100</xdr:rowOff>
                  </to>
                </anchor>
              </controlPr>
            </control>
          </mc:Choice>
        </mc:AlternateContent>
        <mc:AlternateContent xmlns:mc="http://schemas.openxmlformats.org/markup-compatibility/2006">
          <mc:Choice Requires="x14">
            <control shapeId="1035" r:id="rId10" name="Button 11">
              <controlPr defaultSize="0" print="0" autoFill="0" autoPict="0" macro="[0]!GoToModel">
                <anchor moveWithCells="1" sizeWithCells="1">
                  <from>
                    <xdr:col>85</xdr:col>
                    <xdr:colOff>38100</xdr:colOff>
                    <xdr:row>6</xdr:row>
                    <xdr:rowOff>12700</xdr:rowOff>
                  </from>
                  <to>
                    <xdr:col>87</xdr:col>
                    <xdr:colOff>203200</xdr:colOff>
                    <xdr:row>8</xdr:row>
                    <xdr:rowOff>101600</xdr:rowOff>
                  </to>
                </anchor>
              </controlPr>
            </control>
          </mc:Choice>
        </mc:AlternateContent>
        <mc:AlternateContent xmlns:mc="http://schemas.openxmlformats.org/markup-compatibility/2006">
          <mc:Choice Requires="x14">
            <control shapeId="1038" r:id="rId11" name="Button 14">
              <controlPr defaultSize="0" print="0" autoFill="0" autoPict="0" macro="[0]!GoToModel">
                <anchor moveWithCells="1" sizeWithCells="1">
                  <from>
                    <xdr:col>56</xdr:col>
                    <xdr:colOff>3644900</xdr:colOff>
                    <xdr:row>127</xdr:row>
                    <xdr:rowOff>12700</xdr:rowOff>
                  </from>
                  <to>
                    <xdr:col>58</xdr:col>
                    <xdr:colOff>406400</xdr:colOff>
                    <xdr:row>129</xdr:row>
                    <xdr:rowOff>101600</xdr:rowOff>
                  </to>
                </anchor>
              </controlPr>
            </control>
          </mc:Choice>
        </mc:AlternateContent>
        <mc:AlternateContent xmlns:mc="http://schemas.openxmlformats.org/markup-compatibility/2006">
          <mc:Choice Requires="x14">
            <control shapeId="1041" r:id="rId12" name="Button 17">
              <controlPr defaultSize="0" print="0" autoFill="0" autoPict="0" macro="[0]!BackupUserData">
                <anchor moveWithCells="1" sizeWithCells="1">
                  <from>
                    <xdr:col>0</xdr:col>
                    <xdr:colOff>419100</xdr:colOff>
                    <xdr:row>40</xdr:row>
                    <xdr:rowOff>101600</xdr:rowOff>
                  </from>
                  <to>
                    <xdr:col>0</xdr:col>
                    <xdr:colOff>1790700</xdr:colOff>
                    <xdr:row>43</xdr:row>
                    <xdr:rowOff>0</xdr:rowOff>
                  </to>
                </anchor>
              </controlPr>
            </control>
          </mc:Choice>
        </mc:AlternateContent>
        <mc:AlternateContent xmlns:mc="http://schemas.openxmlformats.org/markup-compatibility/2006">
          <mc:Choice Requires="x14">
            <control shapeId="1043" r:id="rId13" name="Button 19">
              <controlPr defaultSize="0" print="0" autoFill="0" autoPict="0" macro="[0]!RestoreUserData">
                <anchor moveWithCells="1" sizeWithCells="1">
                  <from>
                    <xdr:col>0</xdr:col>
                    <xdr:colOff>2400300</xdr:colOff>
                    <xdr:row>40</xdr:row>
                    <xdr:rowOff>101600</xdr:rowOff>
                  </from>
                  <to>
                    <xdr:col>1</xdr:col>
                    <xdr:colOff>330200</xdr:colOff>
                    <xdr:row>42</xdr:row>
                    <xdr:rowOff>177800</xdr:rowOff>
                  </to>
                </anchor>
              </controlPr>
            </control>
          </mc:Choice>
        </mc:AlternateContent>
        <mc:AlternateContent xmlns:mc="http://schemas.openxmlformats.org/markup-compatibility/2006">
          <mc:Choice Requires="x14">
            <control shapeId="1048" r:id="rId14" name="Button 24">
              <controlPr defaultSize="0" print="0" autoFill="0" autoPict="0" macro="[0]!RestoreDefualtInput">
                <anchor moveWithCells="1" sizeWithCells="1">
                  <from>
                    <xdr:col>1</xdr:col>
                    <xdr:colOff>825500</xdr:colOff>
                    <xdr:row>40</xdr:row>
                    <xdr:rowOff>63500</xdr:rowOff>
                  </from>
                  <to>
                    <xdr:col>2</xdr:col>
                    <xdr:colOff>355600</xdr:colOff>
                    <xdr:row>42</xdr:row>
                    <xdr:rowOff>152400</xdr:rowOff>
                  </to>
                </anchor>
              </controlPr>
            </control>
          </mc:Choice>
        </mc:AlternateContent>
        <mc:AlternateContent xmlns:mc="http://schemas.openxmlformats.org/markup-compatibility/2006">
          <mc:Choice Requires="x14">
            <control shapeId="1055" r:id="rId15" name="Button 31">
              <controlPr defaultSize="0" print="0" autoFill="0" autoPict="0" macro="[0]!GoToHoldingPeriod_CF">
                <anchor moveWithCells="1" sizeWithCells="1">
                  <from>
                    <xdr:col>0</xdr:col>
                    <xdr:colOff>2387600</xdr:colOff>
                    <xdr:row>36</xdr:row>
                    <xdr:rowOff>0</xdr:rowOff>
                  </from>
                  <to>
                    <xdr:col>1</xdr:col>
                    <xdr:colOff>317500</xdr:colOff>
                    <xdr:row>39</xdr:row>
                    <xdr:rowOff>101600</xdr:rowOff>
                  </to>
                </anchor>
              </controlPr>
            </control>
          </mc:Choice>
        </mc:AlternateContent>
        <mc:AlternateContent xmlns:mc="http://schemas.openxmlformats.org/markup-compatibility/2006">
          <mc:Choice Requires="x14">
            <control shapeId="1056" r:id="rId16" name="Button 32">
              <controlPr defaultSize="0" print="0" autoFill="0" autoPict="0" macro="[0]!GoToModel">
                <anchor moveWithCells="1" sizeWithCells="1">
                  <from>
                    <xdr:col>16</xdr:col>
                    <xdr:colOff>254000</xdr:colOff>
                    <xdr:row>6</xdr:row>
                    <xdr:rowOff>177800</xdr:rowOff>
                  </from>
                  <to>
                    <xdr:col>18</xdr:col>
                    <xdr:colOff>393700</xdr:colOff>
                    <xdr:row>9</xdr:row>
                    <xdr:rowOff>76200</xdr:rowOff>
                  </to>
                </anchor>
              </controlPr>
            </control>
          </mc:Choice>
        </mc:AlternateContent>
        <mc:AlternateContent xmlns:mc="http://schemas.openxmlformats.org/markup-compatibility/2006">
          <mc:Choice Requires="x14">
            <control shapeId="1057" r:id="rId17" name="Button 33">
              <controlPr defaultSize="0" print="0" autoFill="0" autoPict="0" macro="[0]!GoToYieldCurve">
                <anchor moveWithCells="1" sizeWithCells="1">
                  <from>
                    <xdr:col>0</xdr:col>
                    <xdr:colOff>406400</xdr:colOff>
                    <xdr:row>36</xdr:row>
                    <xdr:rowOff>25400</xdr:rowOff>
                  </from>
                  <to>
                    <xdr:col>0</xdr:col>
                    <xdr:colOff>1778000</xdr:colOff>
                    <xdr:row>38</xdr:row>
                    <xdr:rowOff>101600</xdr:rowOff>
                  </to>
                </anchor>
              </controlPr>
            </control>
          </mc:Choice>
        </mc:AlternateContent>
        <mc:AlternateContent xmlns:mc="http://schemas.openxmlformats.org/markup-compatibility/2006">
          <mc:Choice Requires="x14">
            <control shapeId="1058" r:id="rId18" name="Button 34">
              <controlPr defaultSize="0" print="0" autoFill="0" autoPict="0" macro="[0]!GoToWorkArea">
                <anchor moveWithCells="1" sizeWithCells="1">
                  <from>
                    <xdr:col>3</xdr:col>
                    <xdr:colOff>127000</xdr:colOff>
                    <xdr:row>36</xdr:row>
                    <xdr:rowOff>0</xdr:rowOff>
                  </from>
                  <to>
                    <xdr:col>4</xdr:col>
                    <xdr:colOff>304800</xdr:colOff>
                    <xdr:row>38</xdr:row>
                    <xdr:rowOff>76200</xdr:rowOff>
                  </to>
                </anchor>
              </controlPr>
            </control>
          </mc:Choice>
        </mc:AlternateContent>
        <mc:AlternateContent xmlns:mc="http://schemas.openxmlformats.org/markup-compatibility/2006">
          <mc:Choice Requires="x14">
            <control shapeId="1059" r:id="rId19" name="Button 35">
              <controlPr defaultSize="0" print="0" autoFill="0" autoPict="0" macro="[0]!GoToModel">
                <anchor moveWithCells="1" sizeWithCells="1">
                  <from>
                    <xdr:col>93</xdr:col>
                    <xdr:colOff>1143000</xdr:colOff>
                    <xdr:row>34</xdr:row>
                    <xdr:rowOff>0</xdr:rowOff>
                  </from>
                  <to>
                    <xdr:col>95</xdr:col>
                    <xdr:colOff>342900</xdr:colOff>
                    <xdr:row>36</xdr:row>
                    <xdr:rowOff>76200</xdr:rowOff>
                  </to>
                </anchor>
              </controlPr>
            </control>
          </mc:Choice>
        </mc:AlternateContent>
        <mc:AlternateContent xmlns:mc="http://schemas.openxmlformats.org/markup-compatibility/2006">
          <mc:Choice Requires="x14">
            <control shapeId="1061" r:id="rId20" name="Button 37">
              <controlPr defaultSize="0" print="0" autoFill="0" autoPict="0" macro="[0]!GoToCouponTrajeckery">
                <anchor moveWithCells="1" sizeWithCells="1">
                  <from>
                    <xdr:col>1</xdr:col>
                    <xdr:colOff>825500</xdr:colOff>
                    <xdr:row>35</xdr:row>
                    <xdr:rowOff>177800</xdr:rowOff>
                  </from>
                  <to>
                    <xdr:col>2</xdr:col>
                    <xdr:colOff>355600</xdr:colOff>
                    <xdr:row>39</xdr:row>
                    <xdr:rowOff>88900</xdr:rowOff>
                  </to>
                </anchor>
              </controlPr>
            </control>
          </mc:Choice>
        </mc:AlternateContent>
      </controls>
    </mc:Choice>
  </mc:AlternateContent>
  <tableParts count="1">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6B69ED-591D-41A0-88B2-44590D94E7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User Guide</vt:lpstr>
      <vt:lpstr>Model</vt:lpstr>
      <vt:lpstr>Maturity_Date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rkshukla</dc:creator>
  <cp:lastModifiedBy>Microsoft Office User</cp:lastModifiedBy>
  <dcterms:created xsi:type="dcterms:W3CDTF">2020-11-17T02:56:07Z</dcterms:created>
  <dcterms:modified xsi:type="dcterms:W3CDTF">2021-05-15T21:43:10Z</dcterms:modified>
</cp:coreProperties>
</file>